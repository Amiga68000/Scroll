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0085001\MyApp\Amiga\WinUAE\15 - HardDisk\Sources\Arn-Scroll\"/>
    </mc:Choice>
  </mc:AlternateContent>
  <bookViews>
    <workbookView xWindow="0" yWindow="0" windowWidth="19155" windowHeight="6870"/>
  </bookViews>
  <sheets>
    <sheet name="Feuil1" sheetId="1" r:id="rId1"/>
  </sheets>
  <definedNames>
    <definedName name="BOB_h">Feuil1!$C$35</definedName>
    <definedName name="BP_DY">Feuil1!$C$19</definedName>
    <definedName name="DISP_DY">Feuil1!$C$18</definedName>
    <definedName name="YAFFR0">Feuil1!$C$20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" l="1"/>
  <c r="E25" i="1" s="1"/>
  <c r="F25" i="1" s="1"/>
  <c r="G25" i="1" s="1"/>
  <c r="H25" i="1" s="1"/>
  <c r="I25" i="1" s="1"/>
  <c r="J25" i="1" s="1"/>
  <c r="K25" i="1" s="1"/>
  <c r="L25" i="1" s="1"/>
  <c r="M25" i="1" s="1"/>
  <c r="N25" i="1" s="1"/>
  <c r="O25" i="1" s="1"/>
  <c r="P25" i="1" s="1"/>
  <c r="Q25" i="1" s="1"/>
  <c r="R25" i="1" s="1"/>
  <c r="S25" i="1" s="1"/>
  <c r="T25" i="1" s="1"/>
  <c r="U25" i="1" s="1"/>
  <c r="V25" i="1" s="1"/>
  <c r="W25" i="1" s="1"/>
  <c r="X25" i="1" s="1"/>
  <c r="Y25" i="1" s="1"/>
  <c r="Z25" i="1" s="1"/>
  <c r="AA25" i="1" s="1"/>
  <c r="AB25" i="1" s="1"/>
  <c r="AC25" i="1" s="1"/>
  <c r="AD25" i="1" s="1"/>
  <c r="AE25" i="1" s="1"/>
  <c r="AF25" i="1" s="1"/>
  <c r="AG25" i="1" s="1"/>
  <c r="AH25" i="1" s="1"/>
  <c r="AI25" i="1" s="1"/>
  <c r="AJ25" i="1" s="1"/>
  <c r="AK25" i="1" s="1"/>
  <c r="AL25" i="1" s="1"/>
  <c r="AM25" i="1" s="1"/>
  <c r="AN25" i="1" s="1"/>
  <c r="AO25" i="1" s="1"/>
  <c r="AP25" i="1" s="1"/>
  <c r="AQ25" i="1" s="1"/>
  <c r="AR25" i="1" s="1"/>
  <c r="AS25" i="1" s="1"/>
  <c r="AT25" i="1" s="1"/>
  <c r="AU25" i="1" s="1"/>
  <c r="AV25" i="1" s="1"/>
  <c r="AW25" i="1" s="1"/>
  <c r="AX25" i="1" s="1"/>
  <c r="AY25" i="1" s="1"/>
  <c r="AZ25" i="1" s="1"/>
  <c r="BA25" i="1" s="1"/>
  <c r="BB25" i="1" s="1"/>
  <c r="BC25" i="1" s="1"/>
  <c r="BD25" i="1" s="1"/>
  <c r="BE25" i="1" s="1"/>
  <c r="BF25" i="1" s="1"/>
  <c r="BG25" i="1" s="1"/>
  <c r="BH25" i="1" s="1"/>
  <c r="C19" i="1" l="1"/>
  <c r="AM26" i="1" l="1"/>
  <c r="AM27" i="1" s="1"/>
  <c r="AM37" i="1" s="1"/>
  <c r="AL26" i="1"/>
  <c r="AL27" i="1" s="1"/>
  <c r="AL37" i="1" s="1"/>
  <c r="C22" i="1"/>
  <c r="C23" i="1" s="1"/>
  <c r="AL38" i="1" l="1"/>
  <c r="AL39" i="1" s="1"/>
  <c r="AL40" i="1"/>
  <c r="AN26" i="1"/>
  <c r="AN27" i="1" s="1"/>
  <c r="AN37" i="1" s="1"/>
  <c r="AM38" i="1"/>
  <c r="AM39" i="1" s="1"/>
  <c r="AM40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C26" i="1"/>
  <c r="C27" i="1" s="1"/>
  <c r="C37" i="1" l="1"/>
  <c r="C38" i="1" s="1"/>
  <c r="C39" i="1" s="1"/>
  <c r="AM43" i="1"/>
  <c r="AM41" i="1"/>
  <c r="AM42" i="1"/>
  <c r="AO26" i="1"/>
  <c r="AO27" i="1" s="1"/>
  <c r="AO37" i="1" s="1"/>
  <c r="AN38" i="1"/>
  <c r="AN39" i="1" s="1"/>
  <c r="AN40" i="1"/>
  <c r="AL42" i="1"/>
  <c r="AL43" i="1"/>
  <c r="AL41" i="1"/>
  <c r="L27" i="1"/>
  <c r="L37" i="1" s="1"/>
  <c r="L40" i="1" s="1"/>
  <c r="D27" i="1"/>
  <c r="E27" i="1"/>
  <c r="E37" i="1" s="1"/>
  <c r="E38" i="1" s="1"/>
  <c r="E39" i="1" s="1"/>
  <c r="F27" i="1"/>
  <c r="F37" i="1" s="1"/>
  <c r="F38" i="1" s="1"/>
  <c r="F39" i="1" s="1"/>
  <c r="G27" i="1"/>
  <c r="G37" i="1" s="1"/>
  <c r="G40" i="1" s="1"/>
  <c r="H27" i="1"/>
  <c r="H37" i="1" s="1"/>
  <c r="H38" i="1" s="1"/>
  <c r="H39" i="1" s="1"/>
  <c r="I27" i="1"/>
  <c r="I37" i="1" s="1"/>
  <c r="I38" i="1" s="1"/>
  <c r="I39" i="1" s="1"/>
  <c r="I43" i="1" s="1"/>
  <c r="J27" i="1"/>
  <c r="J37" i="1" s="1"/>
  <c r="J40" i="1" s="1"/>
  <c r="K27" i="1"/>
  <c r="K37" i="1" s="1"/>
  <c r="K40" i="1" s="1"/>
  <c r="B39" i="1"/>
  <c r="AO40" i="1" l="1"/>
  <c r="AO38" i="1"/>
  <c r="AO39" i="1" s="1"/>
  <c r="AP26" i="1"/>
  <c r="AP27" i="1" s="1"/>
  <c r="AP37" i="1" s="1"/>
  <c r="AN43" i="1"/>
  <c r="AN42" i="1"/>
  <c r="AN41" i="1"/>
  <c r="D37" i="1"/>
  <c r="D38" i="1" s="1"/>
  <c r="D39" i="1" s="1"/>
  <c r="C40" i="1"/>
  <c r="K38" i="1"/>
  <c r="K39" i="1" s="1"/>
  <c r="K42" i="1" s="1"/>
  <c r="L38" i="1"/>
  <c r="L39" i="1" s="1"/>
  <c r="L41" i="1" s="1"/>
  <c r="I40" i="1"/>
  <c r="E40" i="1"/>
  <c r="F40" i="1"/>
  <c r="H40" i="1"/>
  <c r="G38" i="1"/>
  <c r="G39" i="1" s="1"/>
  <c r="G41" i="1" s="1"/>
  <c r="J38" i="1"/>
  <c r="J39" i="1" s="1"/>
  <c r="J43" i="1" s="1"/>
  <c r="M27" i="1"/>
  <c r="M37" i="1" s="1"/>
  <c r="C43" i="1"/>
  <c r="H43" i="1"/>
  <c r="H42" i="1"/>
  <c r="H41" i="1"/>
  <c r="I41" i="1"/>
  <c r="I42" i="1"/>
  <c r="F43" i="1"/>
  <c r="F41" i="1"/>
  <c r="F42" i="1"/>
  <c r="E43" i="1"/>
  <c r="E42" i="1"/>
  <c r="E41" i="1"/>
  <c r="C42" i="1"/>
  <c r="C41" i="1"/>
  <c r="AQ26" i="1" l="1"/>
  <c r="AQ27" i="1" s="1"/>
  <c r="AQ37" i="1" s="1"/>
  <c r="AO43" i="1"/>
  <c r="AO41" i="1"/>
  <c r="AO42" i="1"/>
  <c r="AP38" i="1"/>
  <c r="AP39" i="1" s="1"/>
  <c r="AP40" i="1"/>
  <c r="D40" i="1"/>
  <c r="D42" i="1"/>
  <c r="D43" i="1"/>
  <c r="D41" i="1"/>
  <c r="K41" i="1"/>
  <c r="L43" i="1"/>
  <c r="K43" i="1"/>
  <c r="L42" i="1"/>
  <c r="G43" i="1"/>
  <c r="G42" i="1"/>
  <c r="J41" i="1"/>
  <c r="J42" i="1"/>
  <c r="M38" i="1"/>
  <c r="M39" i="1" s="1"/>
  <c r="M40" i="1"/>
  <c r="N27" i="1"/>
  <c r="N37" i="1" s="1"/>
  <c r="AP41" i="1" l="1"/>
  <c r="AP42" i="1"/>
  <c r="AP43" i="1"/>
  <c r="AQ40" i="1"/>
  <c r="AQ38" i="1"/>
  <c r="AQ39" i="1" s="1"/>
  <c r="AR26" i="1"/>
  <c r="AR27" i="1" s="1"/>
  <c r="AR37" i="1" s="1"/>
  <c r="M41" i="1"/>
  <c r="M42" i="1"/>
  <c r="M43" i="1"/>
  <c r="O27" i="1"/>
  <c r="O37" i="1" s="1"/>
  <c r="N38" i="1"/>
  <c r="N39" i="1" s="1"/>
  <c r="N40" i="1"/>
  <c r="AS26" i="1" l="1"/>
  <c r="AS27" i="1" s="1"/>
  <c r="AS37" i="1" s="1"/>
  <c r="AS40" i="1" s="1"/>
  <c r="AR38" i="1"/>
  <c r="AR39" i="1" s="1"/>
  <c r="AR40" i="1"/>
  <c r="AQ41" i="1"/>
  <c r="AQ43" i="1"/>
  <c r="AQ42" i="1"/>
  <c r="O38" i="1"/>
  <c r="O39" i="1" s="1"/>
  <c r="O40" i="1"/>
  <c r="P27" i="1"/>
  <c r="P37" i="1" s="1"/>
  <c r="N41" i="1"/>
  <c r="N42" i="1"/>
  <c r="N43" i="1"/>
  <c r="AS38" i="1" l="1"/>
  <c r="AS39" i="1" s="1"/>
  <c r="AS43" i="1" s="1"/>
  <c r="AT26" i="1"/>
  <c r="AT27" i="1" s="1"/>
  <c r="AT37" i="1" s="1"/>
  <c r="AR41" i="1"/>
  <c r="AR43" i="1"/>
  <c r="AR42" i="1"/>
  <c r="AS41" i="1"/>
  <c r="AS42" i="1"/>
  <c r="O43" i="1"/>
  <c r="O42" i="1"/>
  <c r="O41" i="1"/>
  <c r="P38" i="1"/>
  <c r="P39" i="1" s="1"/>
  <c r="P40" i="1"/>
  <c r="Q27" i="1"/>
  <c r="Q37" i="1" s="1"/>
  <c r="AT40" i="1" l="1"/>
  <c r="AT38" i="1"/>
  <c r="AT39" i="1" s="1"/>
  <c r="AU26" i="1"/>
  <c r="AU27" i="1" s="1"/>
  <c r="AU37" i="1" s="1"/>
  <c r="P41" i="1"/>
  <c r="P43" i="1"/>
  <c r="P42" i="1"/>
  <c r="Q40" i="1"/>
  <c r="Q38" i="1"/>
  <c r="Q39" i="1" s="1"/>
  <c r="R27" i="1"/>
  <c r="R37" i="1" s="1"/>
  <c r="AV26" i="1" l="1"/>
  <c r="AV27" i="1" s="1"/>
  <c r="AV37" i="1" s="1"/>
  <c r="AU40" i="1"/>
  <c r="AU38" i="1"/>
  <c r="AU39" i="1" s="1"/>
  <c r="AT42" i="1"/>
  <c r="AT43" i="1"/>
  <c r="AT41" i="1"/>
  <c r="S27" i="1"/>
  <c r="S37" i="1" s="1"/>
  <c r="Q42" i="1"/>
  <c r="Q43" i="1"/>
  <c r="Q41" i="1"/>
  <c r="R38" i="1"/>
  <c r="R39" i="1" s="1"/>
  <c r="R40" i="1"/>
  <c r="AU41" i="1" l="1"/>
  <c r="AU43" i="1"/>
  <c r="AU42" i="1"/>
  <c r="AW26" i="1"/>
  <c r="AW27" i="1" s="1"/>
  <c r="AW37" i="1" s="1"/>
  <c r="AV38" i="1"/>
  <c r="AV39" i="1" s="1"/>
  <c r="AV40" i="1"/>
  <c r="S40" i="1"/>
  <c r="S38" i="1"/>
  <c r="S39" i="1" s="1"/>
  <c r="T27" i="1"/>
  <c r="T37" i="1" s="1"/>
  <c r="R43" i="1"/>
  <c r="R42" i="1"/>
  <c r="R41" i="1"/>
  <c r="AW38" i="1" l="1"/>
  <c r="AW39" i="1" s="1"/>
  <c r="AW40" i="1"/>
  <c r="AX26" i="1"/>
  <c r="AX27" i="1" s="1"/>
  <c r="AX37" i="1" s="1"/>
  <c r="AV43" i="1"/>
  <c r="AV41" i="1"/>
  <c r="AV42" i="1"/>
  <c r="S41" i="1"/>
  <c r="S43" i="1"/>
  <c r="S42" i="1"/>
  <c r="T40" i="1"/>
  <c r="T38" i="1"/>
  <c r="T39" i="1" s="1"/>
  <c r="U27" i="1"/>
  <c r="U37" i="1" s="1"/>
  <c r="AY26" i="1" l="1"/>
  <c r="AY27" i="1" s="1"/>
  <c r="AY37" i="1" s="1"/>
  <c r="AX38" i="1"/>
  <c r="AX39" i="1" s="1"/>
  <c r="AX40" i="1"/>
  <c r="AW42" i="1"/>
  <c r="AW43" i="1"/>
  <c r="AW41" i="1"/>
  <c r="U38" i="1"/>
  <c r="U39" i="1" s="1"/>
  <c r="U40" i="1"/>
  <c r="V27" i="1"/>
  <c r="V37" i="1" s="1"/>
  <c r="T41" i="1"/>
  <c r="T43" i="1"/>
  <c r="T42" i="1"/>
  <c r="AX41" i="1" l="1"/>
  <c r="AX42" i="1"/>
  <c r="AX43" i="1"/>
  <c r="AZ26" i="1"/>
  <c r="AZ27" i="1" s="1"/>
  <c r="AZ37" i="1" s="1"/>
  <c r="AY38" i="1"/>
  <c r="AY39" i="1" s="1"/>
  <c r="AY40" i="1"/>
  <c r="U42" i="1"/>
  <c r="U41" i="1"/>
  <c r="U43" i="1"/>
  <c r="V38" i="1"/>
  <c r="V39" i="1" s="1"/>
  <c r="V40" i="1"/>
  <c r="W27" i="1"/>
  <c r="W37" i="1" s="1"/>
  <c r="BA26" i="1" l="1"/>
  <c r="BA27" i="1" s="1"/>
  <c r="BA37" i="1" s="1"/>
  <c r="AZ38" i="1"/>
  <c r="AZ39" i="1" s="1"/>
  <c r="AZ40" i="1"/>
  <c r="AY42" i="1"/>
  <c r="AY43" i="1"/>
  <c r="AY41" i="1"/>
  <c r="X27" i="1"/>
  <c r="X37" i="1" s="1"/>
  <c r="W38" i="1"/>
  <c r="W39" i="1" s="1"/>
  <c r="W40" i="1"/>
  <c r="V41" i="1"/>
  <c r="V42" i="1"/>
  <c r="V43" i="1"/>
  <c r="AZ43" i="1" l="1"/>
  <c r="AZ42" i="1"/>
  <c r="AZ41" i="1"/>
  <c r="BB26" i="1"/>
  <c r="BB27" i="1" s="1"/>
  <c r="BB37" i="1" s="1"/>
  <c r="BA40" i="1"/>
  <c r="BA38" i="1"/>
  <c r="BA39" i="1" s="1"/>
  <c r="Y27" i="1"/>
  <c r="Y37" i="1" s="1"/>
  <c r="X38" i="1"/>
  <c r="X39" i="1" s="1"/>
  <c r="X40" i="1"/>
  <c r="W41" i="1"/>
  <c r="W42" i="1"/>
  <c r="W43" i="1"/>
  <c r="BC26" i="1" l="1"/>
  <c r="BC27" i="1" s="1"/>
  <c r="BC37" i="1" s="1"/>
  <c r="BA42" i="1"/>
  <c r="BA43" i="1"/>
  <c r="BA41" i="1"/>
  <c r="BB40" i="1"/>
  <c r="BB38" i="1"/>
  <c r="BB39" i="1" s="1"/>
  <c r="Y38" i="1"/>
  <c r="Y39" i="1" s="1"/>
  <c r="Y40" i="1"/>
  <c r="Z27" i="1"/>
  <c r="Z37" i="1" s="1"/>
  <c r="X41" i="1"/>
  <c r="X43" i="1"/>
  <c r="X42" i="1"/>
  <c r="BB42" i="1" l="1"/>
  <c r="BB41" i="1"/>
  <c r="BB43" i="1"/>
  <c r="BD26" i="1"/>
  <c r="BD27" i="1" s="1"/>
  <c r="BD37" i="1" s="1"/>
  <c r="BC38" i="1"/>
  <c r="BC39" i="1" s="1"/>
  <c r="BC40" i="1"/>
  <c r="AA27" i="1"/>
  <c r="AA37" i="1" s="1"/>
  <c r="Y43" i="1"/>
  <c r="Y41" i="1"/>
  <c r="Y42" i="1"/>
  <c r="Z38" i="1"/>
  <c r="Z39" i="1" s="1"/>
  <c r="Z40" i="1"/>
  <c r="BC42" i="1" l="1"/>
  <c r="BC43" i="1"/>
  <c r="BC41" i="1"/>
  <c r="BE26" i="1"/>
  <c r="BE27" i="1" s="1"/>
  <c r="BE37" i="1" s="1"/>
  <c r="BD40" i="1"/>
  <c r="BD38" i="1"/>
  <c r="BD39" i="1" s="1"/>
  <c r="AB27" i="1"/>
  <c r="AB37" i="1" s="1"/>
  <c r="Z43" i="1"/>
  <c r="Z41" i="1"/>
  <c r="Z42" i="1"/>
  <c r="AA40" i="1"/>
  <c r="AA38" i="1"/>
  <c r="AA39" i="1" s="1"/>
  <c r="BD42" i="1" l="1"/>
  <c r="BD41" i="1"/>
  <c r="BD43" i="1"/>
  <c r="BF26" i="1"/>
  <c r="BF27" i="1" s="1"/>
  <c r="BF37" i="1" s="1"/>
  <c r="BE38" i="1"/>
  <c r="BE39" i="1" s="1"/>
  <c r="BE40" i="1"/>
  <c r="AA43" i="1"/>
  <c r="AA41" i="1"/>
  <c r="AA42" i="1"/>
  <c r="AB38" i="1"/>
  <c r="AB39" i="1" s="1"/>
  <c r="AB40" i="1"/>
  <c r="AC27" i="1"/>
  <c r="AC37" i="1" s="1"/>
  <c r="BE43" i="1" l="1"/>
  <c r="BE42" i="1"/>
  <c r="BE41" i="1"/>
  <c r="BH26" i="1"/>
  <c r="BH27" i="1" s="1"/>
  <c r="BH37" i="1" s="1"/>
  <c r="BG26" i="1"/>
  <c r="BG27" i="1" s="1"/>
  <c r="BG37" i="1" s="1"/>
  <c r="BF40" i="1"/>
  <c r="BF38" i="1"/>
  <c r="BF39" i="1" s="1"/>
  <c r="AB43" i="1"/>
  <c r="AB42" i="1"/>
  <c r="AB41" i="1"/>
  <c r="AC38" i="1"/>
  <c r="AC39" i="1" s="1"/>
  <c r="AC40" i="1"/>
  <c r="AD27" i="1"/>
  <c r="AD37" i="1" s="1"/>
  <c r="BG38" i="1" l="1"/>
  <c r="BG39" i="1" s="1"/>
  <c r="BG40" i="1"/>
  <c r="BF42" i="1"/>
  <c r="BF43" i="1"/>
  <c r="BF41" i="1"/>
  <c r="BH40" i="1"/>
  <c r="BH38" i="1"/>
  <c r="BH39" i="1" s="1"/>
  <c r="AC43" i="1"/>
  <c r="AC42" i="1"/>
  <c r="AC41" i="1"/>
  <c r="AD38" i="1"/>
  <c r="AD39" i="1" s="1"/>
  <c r="AD40" i="1"/>
  <c r="AE27" i="1"/>
  <c r="AE37" i="1" s="1"/>
  <c r="BH42" i="1" l="1"/>
  <c r="BH41" i="1"/>
  <c r="BH43" i="1"/>
  <c r="BG41" i="1"/>
  <c r="BG42" i="1"/>
  <c r="BG43" i="1"/>
  <c r="AF27" i="1"/>
  <c r="AF37" i="1" s="1"/>
  <c r="AD41" i="1"/>
  <c r="AD42" i="1"/>
  <c r="AD43" i="1"/>
  <c r="AE38" i="1"/>
  <c r="AE39" i="1" s="1"/>
  <c r="AE40" i="1"/>
  <c r="AE41" i="1" l="1"/>
  <c r="AE42" i="1"/>
  <c r="AE43" i="1"/>
  <c r="AG27" i="1"/>
  <c r="AG37" i="1" s="1"/>
  <c r="AF38" i="1"/>
  <c r="AF39" i="1" s="1"/>
  <c r="AF40" i="1"/>
  <c r="AF41" i="1" l="1"/>
  <c r="AF43" i="1"/>
  <c r="AF42" i="1"/>
  <c r="AH27" i="1"/>
  <c r="AH37" i="1" s="1"/>
  <c r="AG40" i="1"/>
  <c r="AG38" i="1"/>
  <c r="AG39" i="1" s="1"/>
  <c r="AG42" i="1" l="1"/>
  <c r="AG43" i="1"/>
  <c r="AG41" i="1"/>
  <c r="AI27" i="1"/>
  <c r="AI37" i="1" s="1"/>
  <c r="AH38" i="1"/>
  <c r="AH39" i="1" s="1"/>
  <c r="AH40" i="1"/>
  <c r="AH41" i="1" l="1"/>
  <c r="AH43" i="1"/>
  <c r="AH42" i="1"/>
  <c r="AK27" i="1"/>
  <c r="AK37" i="1" s="1"/>
  <c r="AJ27" i="1"/>
  <c r="AJ37" i="1" s="1"/>
  <c r="AI40" i="1"/>
  <c r="AI38" i="1"/>
  <c r="AI39" i="1" s="1"/>
  <c r="AK40" i="1" l="1"/>
  <c r="AK38" i="1"/>
  <c r="AK39" i="1" s="1"/>
  <c r="AI41" i="1"/>
  <c r="AI42" i="1"/>
  <c r="AI43" i="1"/>
  <c r="AJ40" i="1"/>
  <c r="AJ38" i="1"/>
  <c r="AJ39" i="1" s="1"/>
  <c r="AJ41" i="1" l="1"/>
  <c r="AJ42" i="1"/>
  <c r="AJ43" i="1"/>
  <c r="AK41" i="1"/>
  <c r="AK42" i="1"/>
  <c r="AK43" i="1"/>
</calcChain>
</file>

<file path=xl/sharedStrings.xml><?xml version="1.0" encoding="utf-8"?>
<sst xmlns="http://schemas.openxmlformats.org/spreadsheetml/2006/main" count="19" uniqueCount="18">
  <si>
    <t>BOB_h</t>
  </si>
  <si>
    <t>BOB yFin</t>
  </si>
  <si>
    <t>de</t>
  </si>
  <si>
    <t>a</t>
  </si>
  <si>
    <t>à</t>
  </si>
  <si>
    <t>R1 : Scene affichée</t>
  </si>
  <si>
    <t>R2 : Ecran</t>
  </si>
  <si>
    <t>R0 : Scène globale</t>
  </si>
  <si>
    <t>Yobj/R0</t>
  </si>
  <si>
    <t>DISPLAY_DY</t>
  </si>
  <si>
    <t>BITPLANE_DY</t>
  </si>
  <si>
    <t>YAffLigne/R1 = YAFF/R0 mod BITPLANE_DY</t>
  </si>
  <si>
    <t>Yobj/R1 = Yobj/R0 - YAFF/R0</t>
  </si>
  <si>
    <t>AffligneY = 320 - (CTR65536 MOD 320) -1  = BITPLANE_DY - (CTR65536 MOD BITPLANE_DY) -1</t>
  </si>
  <si>
    <t>BOB yDeb/R2</t>
  </si>
  <si>
    <r>
      <rPr>
        <sz val="11"/>
        <color rgb="FFFF0000"/>
        <rFont val="Calibri"/>
        <family val="2"/>
        <scheme val="minor"/>
      </rPr>
      <t>YAffLigne/R2</t>
    </r>
    <r>
      <rPr>
        <sz val="11"/>
        <color theme="1"/>
        <rFont val="Calibri"/>
        <family val="2"/>
        <scheme val="minor"/>
      </rPr>
      <t xml:space="preserve"> = BITPLANE_DY - YAffLigne/R1</t>
    </r>
  </si>
  <si>
    <r>
      <rPr>
        <sz val="11"/>
        <color rgb="FF00B050"/>
        <rFont val="Calibri"/>
        <family val="2"/>
        <scheme val="minor"/>
      </rPr>
      <t>YAFF/R0</t>
    </r>
    <r>
      <rPr>
        <sz val="11"/>
        <color theme="1"/>
        <rFont val="Calibri"/>
        <family val="2"/>
        <scheme val="minor"/>
      </rPr>
      <t xml:space="preserve"> = OyR1/R0 = CTR65536</t>
    </r>
  </si>
  <si>
    <r>
      <rPr>
        <sz val="11"/>
        <color rgb="FFFF0000"/>
        <rFont val="Calibri"/>
        <family val="2"/>
        <scheme val="minor"/>
      </rPr>
      <t>Yobj/R2</t>
    </r>
    <r>
      <rPr>
        <sz val="11"/>
        <color theme="1"/>
        <rFont val="Calibri"/>
        <family val="2"/>
        <scheme val="minor"/>
      </rPr>
      <t xml:space="preserve"> = DISPLAY_DY - Yobj/R1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</si>
</sst>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</xdr:row>
      <xdr:rowOff>133349</xdr:rowOff>
    </xdr:from>
    <xdr:to>
      <xdr:col>9</xdr:col>
      <xdr:colOff>19050</xdr:colOff>
      <xdr:row>16</xdr:row>
      <xdr:rowOff>47625</xdr:rowOff>
    </xdr:to>
    <xdr:sp macro="" textlink="">
      <xdr:nvSpPr>
        <xdr:cNvPr id="3" name="Rectangle 2"/>
        <xdr:cNvSpPr/>
      </xdr:nvSpPr>
      <xdr:spPr>
        <a:xfrm>
          <a:off x="2009775" y="323849"/>
          <a:ext cx="2228850" cy="27717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133350</xdr:colOff>
      <xdr:row>4</xdr:row>
      <xdr:rowOff>133350</xdr:rowOff>
    </xdr:from>
    <xdr:to>
      <xdr:col>9</xdr:col>
      <xdr:colOff>19050</xdr:colOff>
      <xdr:row>11</xdr:row>
      <xdr:rowOff>152400</xdr:rowOff>
    </xdr:to>
    <xdr:sp macro="" textlink="">
      <xdr:nvSpPr>
        <xdr:cNvPr id="2" name="Rectangle 1"/>
        <xdr:cNvSpPr/>
      </xdr:nvSpPr>
      <xdr:spPr>
        <a:xfrm>
          <a:off x="3429000" y="895350"/>
          <a:ext cx="2228850" cy="13525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114300</xdr:colOff>
      <xdr:row>14</xdr:row>
      <xdr:rowOff>66675</xdr:rowOff>
    </xdr:from>
    <xdr:to>
      <xdr:col>4</xdr:col>
      <xdr:colOff>66675</xdr:colOff>
      <xdr:row>16</xdr:row>
      <xdr:rowOff>55010</xdr:rowOff>
    </xdr:to>
    <xdr:grpSp>
      <xdr:nvGrpSpPr>
        <xdr:cNvPr id="13" name="Groupe 12"/>
        <xdr:cNvGrpSpPr/>
      </xdr:nvGrpSpPr>
      <xdr:grpSpPr>
        <a:xfrm>
          <a:off x="3409950" y="2733675"/>
          <a:ext cx="342900" cy="369335"/>
          <a:chOff x="171450" y="2095500"/>
          <a:chExt cx="342900" cy="369335"/>
        </a:xfrm>
      </xdr:grpSpPr>
      <xdr:sp macro="" textlink="">
        <xdr:nvSpPr>
          <xdr:cNvPr id="10" name="ZoneTexte 9"/>
          <xdr:cNvSpPr txBox="1"/>
        </xdr:nvSpPr>
        <xdr:spPr>
          <a:xfrm>
            <a:off x="171450" y="2200275"/>
            <a:ext cx="332783" cy="264560"/>
          </a:xfrm>
          <a:prstGeom prst="rect">
            <a:avLst/>
          </a:prstGeom>
          <a:noFill/>
          <a:ln w="285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R0</a:t>
            </a:r>
          </a:p>
        </xdr:txBody>
      </xdr:sp>
      <xdr:cxnSp macro="">
        <xdr:nvCxnSpPr>
          <xdr:cNvPr id="11" name="Connecteur droit avec flèche 10"/>
          <xdr:cNvCxnSpPr/>
        </xdr:nvCxnSpPr>
        <xdr:spPr>
          <a:xfrm flipV="1">
            <a:off x="190500" y="2095500"/>
            <a:ext cx="0" cy="352425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necteur droit avec flèche 11"/>
          <xdr:cNvCxnSpPr/>
        </xdr:nvCxnSpPr>
        <xdr:spPr>
          <a:xfrm>
            <a:off x="190500" y="2457450"/>
            <a:ext cx="323850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</xdr:row>
      <xdr:rowOff>161925</xdr:rowOff>
    </xdr:from>
    <xdr:to>
      <xdr:col>4</xdr:col>
      <xdr:colOff>66675</xdr:colOff>
      <xdr:row>11</xdr:row>
      <xdr:rowOff>150260</xdr:rowOff>
    </xdr:to>
    <xdr:grpSp>
      <xdr:nvGrpSpPr>
        <xdr:cNvPr id="14" name="Groupe 13"/>
        <xdr:cNvGrpSpPr/>
      </xdr:nvGrpSpPr>
      <xdr:grpSpPr>
        <a:xfrm>
          <a:off x="3409950" y="1876425"/>
          <a:ext cx="342900" cy="369335"/>
          <a:chOff x="171450" y="2095500"/>
          <a:chExt cx="342900" cy="369335"/>
        </a:xfrm>
      </xdr:grpSpPr>
      <xdr:sp macro="" textlink="">
        <xdr:nvSpPr>
          <xdr:cNvPr id="15" name="ZoneTexte 14"/>
          <xdr:cNvSpPr txBox="1"/>
        </xdr:nvSpPr>
        <xdr:spPr>
          <a:xfrm>
            <a:off x="171450" y="2200275"/>
            <a:ext cx="332783" cy="264560"/>
          </a:xfrm>
          <a:prstGeom prst="rect">
            <a:avLst/>
          </a:prstGeom>
          <a:noFill/>
          <a:ln w="285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R1</a:t>
            </a:r>
          </a:p>
        </xdr:txBody>
      </xdr:sp>
      <xdr:cxnSp macro="">
        <xdr:nvCxnSpPr>
          <xdr:cNvPr id="16" name="Connecteur droit avec flèche 15"/>
          <xdr:cNvCxnSpPr/>
        </xdr:nvCxnSpPr>
        <xdr:spPr>
          <a:xfrm flipV="1">
            <a:off x="190500" y="2095500"/>
            <a:ext cx="0" cy="352425"/>
          </a:xfrm>
          <a:prstGeom prst="straightConnector1">
            <a:avLst/>
          </a:prstGeom>
          <a:ln w="28575">
            <a:solidFill>
              <a:srgbClr val="0070C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necteur droit avec flèche 16"/>
          <xdr:cNvCxnSpPr/>
        </xdr:nvCxnSpPr>
        <xdr:spPr>
          <a:xfrm>
            <a:off x="190500" y="2457450"/>
            <a:ext cx="323850" cy="0"/>
          </a:xfrm>
          <a:prstGeom prst="straightConnector1">
            <a:avLst/>
          </a:prstGeom>
          <a:ln w="28575">
            <a:solidFill>
              <a:srgbClr val="0070C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4</xdr:row>
      <xdr:rowOff>122521</xdr:rowOff>
    </xdr:from>
    <xdr:to>
      <xdr:col>4</xdr:col>
      <xdr:colOff>66675</xdr:colOff>
      <xdr:row>6</xdr:row>
      <xdr:rowOff>114304</xdr:rowOff>
    </xdr:to>
    <xdr:grpSp>
      <xdr:nvGrpSpPr>
        <xdr:cNvPr id="18" name="Groupe 17"/>
        <xdr:cNvGrpSpPr/>
      </xdr:nvGrpSpPr>
      <xdr:grpSpPr>
        <a:xfrm>
          <a:off x="3409950" y="884521"/>
          <a:ext cx="342900" cy="372783"/>
          <a:chOff x="171450" y="2447925"/>
          <a:chExt cx="342900" cy="346012"/>
        </a:xfrm>
      </xdr:grpSpPr>
      <xdr:sp macro="" textlink="">
        <xdr:nvSpPr>
          <xdr:cNvPr id="19" name="ZoneTexte 18"/>
          <xdr:cNvSpPr txBox="1"/>
        </xdr:nvSpPr>
        <xdr:spPr>
          <a:xfrm>
            <a:off x="171450" y="2483186"/>
            <a:ext cx="332783" cy="245561"/>
          </a:xfrm>
          <a:prstGeom prst="rect">
            <a:avLst/>
          </a:prstGeom>
          <a:noFill/>
          <a:ln w="285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R2</a:t>
            </a:r>
          </a:p>
        </xdr:txBody>
      </xdr:sp>
      <xdr:cxnSp macro="">
        <xdr:nvCxnSpPr>
          <xdr:cNvPr id="20" name="Connecteur droit avec flèche 19"/>
          <xdr:cNvCxnSpPr/>
        </xdr:nvCxnSpPr>
        <xdr:spPr>
          <a:xfrm>
            <a:off x="190500" y="2447925"/>
            <a:ext cx="0" cy="346012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necteur droit avec flèche 20"/>
          <xdr:cNvCxnSpPr/>
        </xdr:nvCxnSpPr>
        <xdr:spPr>
          <a:xfrm>
            <a:off x="190500" y="2457450"/>
            <a:ext cx="323850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57150</xdr:colOff>
      <xdr:row>8</xdr:row>
      <xdr:rowOff>104775</xdr:rowOff>
    </xdr:from>
    <xdr:to>
      <xdr:col>11</xdr:col>
      <xdr:colOff>85725</xdr:colOff>
      <xdr:row>8</xdr:row>
      <xdr:rowOff>104775</xdr:rowOff>
    </xdr:to>
    <xdr:cxnSp macro="">
      <xdr:nvCxnSpPr>
        <xdr:cNvPr id="24" name="Connecteur droit 23"/>
        <xdr:cNvCxnSpPr/>
      </xdr:nvCxnSpPr>
      <xdr:spPr>
        <a:xfrm>
          <a:off x="1933575" y="1628775"/>
          <a:ext cx="3152775" cy="0"/>
        </a:xfrm>
        <a:prstGeom prst="line">
          <a:avLst/>
        </a:prstGeom>
        <a:ln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8</xdr:row>
      <xdr:rowOff>104775</xdr:rowOff>
    </xdr:from>
    <xdr:to>
      <xdr:col>14</xdr:col>
      <xdr:colOff>9525</xdr:colOff>
      <xdr:row>11</xdr:row>
      <xdr:rowOff>161925</xdr:rowOff>
    </xdr:to>
    <xdr:sp macro="" textlink="">
      <xdr:nvSpPr>
        <xdr:cNvPr id="25" name="Rectangle 24"/>
        <xdr:cNvSpPr/>
      </xdr:nvSpPr>
      <xdr:spPr>
        <a:xfrm>
          <a:off x="6505575" y="1628775"/>
          <a:ext cx="1095375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</a:t>
          </a:r>
        </a:p>
      </xdr:txBody>
    </xdr:sp>
    <xdr:clientData/>
  </xdr:twoCellAnchor>
  <xdr:twoCellAnchor>
    <xdr:from>
      <xdr:col>11</xdr:col>
      <xdr:colOff>85725</xdr:colOff>
      <xdr:row>4</xdr:row>
      <xdr:rowOff>133350</xdr:rowOff>
    </xdr:from>
    <xdr:to>
      <xdr:col>14</xdr:col>
      <xdr:colOff>9525</xdr:colOff>
      <xdr:row>8</xdr:row>
      <xdr:rowOff>95250</xdr:rowOff>
    </xdr:to>
    <xdr:sp macro="" textlink="">
      <xdr:nvSpPr>
        <xdr:cNvPr id="26" name="Rectangle 25"/>
        <xdr:cNvSpPr/>
      </xdr:nvSpPr>
      <xdr:spPr>
        <a:xfrm>
          <a:off x="6505575" y="895350"/>
          <a:ext cx="1095375" cy="723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</a:t>
          </a:r>
        </a:p>
      </xdr:txBody>
    </xdr:sp>
    <xdr:clientData/>
  </xdr:twoCellAnchor>
  <xdr:twoCellAnchor>
    <xdr:from>
      <xdr:col>11</xdr:col>
      <xdr:colOff>85725</xdr:colOff>
      <xdr:row>3</xdr:row>
      <xdr:rowOff>9525</xdr:rowOff>
    </xdr:from>
    <xdr:to>
      <xdr:col>14</xdr:col>
      <xdr:colOff>9525</xdr:colOff>
      <xdr:row>4</xdr:row>
      <xdr:rowOff>133350</xdr:rowOff>
    </xdr:to>
    <xdr:sp macro="" textlink="">
      <xdr:nvSpPr>
        <xdr:cNvPr id="27" name="Rectangle 26"/>
        <xdr:cNvSpPr/>
      </xdr:nvSpPr>
      <xdr:spPr>
        <a:xfrm>
          <a:off x="6505575" y="581025"/>
          <a:ext cx="1095375" cy="314325"/>
        </a:xfrm>
        <a:prstGeom prst="rect">
          <a:avLst/>
        </a:prstGeom>
        <a:pattFill prst="wdUpDiag">
          <a:fgClr>
            <a:schemeClr val="accent1"/>
          </a:fgClr>
          <a:bgClr>
            <a:schemeClr val="bg1"/>
          </a:bgClr>
        </a:pattFill>
        <a:ln>
          <a:solidFill>
            <a:schemeClr val="accent1">
              <a:shade val="50000"/>
              <a:alpha val="9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14</xdr:col>
      <xdr:colOff>0</xdr:colOff>
      <xdr:row>8</xdr:row>
      <xdr:rowOff>57150</xdr:rowOff>
    </xdr:from>
    <xdr:ext cx="583558" cy="264560"/>
    <xdr:sp macro="" textlink="">
      <xdr:nvSpPr>
        <xdr:cNvPr id="29" name="ZoneTexte 28"/>
        <xdr:cNvSpPr txBox="1"/>
      </xdr:nvSpPr>
      <xdr:spPr>
        <a:xfrm>
          <a:off x="7591425" y="1581150"/>
          <a:ext cx="5835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0</a:t>
          </a:r>
        </a:p>
      </xdr:txBody>
    </xdr:sp>
    <xdr:clientData/>
  </xdr:oneCellAnchor>
  <xdr:oneCellAnchor>
    <xdr:from>
      <xdr:col>14</xdr:col>
      <xdr:colOff>0</xdr:colOff>
      <xdr:row>7</xdr:row>
      <xdr:rowOff>28575</xdr:rowOff>
    </xdr:from>
    <xdr:ext cx="1212704" cy="264560"/>
    <xdr:sp macro="" textlink="">
      <xdr:nvSpPr>
        <xdr:cNvPr id="30" name="ZoneTexte 29"/>
        <xdr:cNvSpPr txBox="1"/>
      </xdr:nvSpPr>
      <xdr:spPr>
        <a:xfrm>
          <a:off x="7591425" y="1362075"/>
          <a:ext cx="12127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Bitplane_DY</a:t>
          </a:r>
        </a:p>
      </xdr:txBody>
    </xdr:sp>
    <xdr:clientData/>
  </xdr:oneCellAnchor>
  <xdr:twoCellAnchor>
    <xdr:from>
      <xdr:col>20</xdr:col>
      <xdr:colOff>47625</xdr:colOff>
      <xdr:row>3</xdr:row>
      <xdr:rowOff>47625</xdr:rowOff>
    </xdr:from>
    <xdr:to>
      <xdr:col>22</xdr:col>
      <xdr:colOff>219075</xdr:colOff>
      <xdr:row>6</xdr:row>
      <xdr:rowOff>104775</xdr:rowOff>
    </xdr:to>
    <xdr:sp macro="" textlink="">
      <xdr:nvSpPr>
        <xdr:cNvPr id="31" name="Rectangle 30"/>
        <xdr:cNvSpPr/>
      </xdr:nvSpPr>
      <xdr:spPr>
        <a:xfrm>
          <a:off x="9982200" y="619125"/>
          <a:ext cx="9525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</a:t>
          </a:r>
        </a:p>
      </xdr:txBody>
    </xdr:sp>
    <xdr:clientData/>
  </xdr:twoCellAnchor>
  <xdr:twoCellAnchor>
    <xdr:from>
      <xdr:col>20</xdr:col>
      <xdr:colOff>47625</xdr:colOff>
      <xdr:row>8</xdr:row>
      <xdr:rowOff>38100</xdr:rowOff>
    </xdr:from>
    <xdr:to>
      <xdr:col>22</xdr:col>
      <xdr:colOff>219075</xdr:colOff>
      <xdr:row>12</xdr:row>
      <xdr:rowOff>0</xdr:rowOff>
    </xdr:to>
    <xdr:sp macro="" textlink="">
      <xdr:nvSpPr>
        <xdr:cNvPr id="32" name="Rectangle 31"/>
        <xdr:cNvSpPr/>
      </xdr:nvSpPr>
      <xdr:spPr>
        <a:xfrm>
          <a:off x="9982200" y="1562100"/>
          <a:ext cx="952500" cy="723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</a:t>
          </a:r>
        </a:p>
      </xdr:txBody>
    </xdr:sp>
    <xdr:clientData/>
  </xdr:twoCellAnchor>
  <xdr:twoCellAnchor>
    <xdr:from>
      <xdr:col>20</xdr:col>
      <xdr:colOff>47625</xdr:colOff>
      <xdr:row>6</xdr:row>
      <xdr:rowOff>104775</xdr:rowOff>
    </xdr:from>
    <xdr:to>
      <xdr:col>22</xdr:col>
      <xdr:colOff>219075</xdr:colOff>
      <xdr:row>8</xdr:row>
      <xdr:rowOff>38100</xdr:rowOff>
    </xdr:to>
    <xdr:sp macro="" textlink="">
      <xdr:nvSpPr>
        <xdr:cNvPr id="33" name="Rectangle 32"/>
        <xdr:cNvSpPr/>
      </xdr:nvSpPr>
      <xdr:spPr>
        <a:xfrm>
          <a:off x="9982200" y="1247775"/>
          <a:ext cx="952500" cy="314325"/>
        </a:xfrm>
        <a:prstGeom prst="rect">
          <a:avLst/>
        </a:prstGeom>
        <a:pattFill prst="wdUpDiag">
          <a:fgClr>
            <a:schemeClr val="accent1"/>
          </a:fgClr>
          <a:bgClr>
            <a:schemeClr val="bg1"/>
          </a:bgClr>
        </a:pattFill>
        <a:ln>
          <a:solidFill>
            <a:schemeClr val="accent1">
              <a:shade val="50000"/>
              <a:alpha val="9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18</xdr:col>
      <xdr:colOff>247650</xdr:colOff>
      <xdr:row>2</xdr:row>
      <xdr:rowOff>171450</xdr:rowOff>
    </xdr:from>
    <xdr:ext cx="583558" cy="264560"/>
    <xdr:sp macro="" textlink="">
      <xdr:nvSpPr>
        <xdr:cNvPr id="34" name="ZoneTexte 33"/>
        <xdr:cNvSpPr txBox="1"/>
      </xdr:nvSpPr>
      <xdr:spPr>
        <a:xfrm>
          <a:off x="9401175" y="552450"/>
          <a:ext cx="5835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0</a:t>
          </a:r>
        </a:p>
      </xdr:txBody>
    </xdr:sp>
    <xdr:clientData/>
  </xdr:oneCellAnchor>
  <xdr:oneCellAnchor>
    <xdr:from>
      <xdr:col>17</xdr:col>
      <xdr:colOff>66675</xdr:colOff>
      <xdr:row>10</xdr:row>
      <xdr:rowOff>152400</xdr:rowOff>
    </xdr:from>
    <xdr:ext cx="1212704" cy="264560"/>
    <xdr:sp macro="" textlink="">
      <xdr:nvSpPr>
        <xdr:cNvPr id="35" name="ZoneTexte 34"/>
        <xdr:cNvSpPr txBox="1"/>
      </xdr:nvSpPr>
      <xdr:spPr>
        <a:xfrm>
          <a:off x="8829675" y="2057400"/>
          <a:ext cx="12127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Bitplane_DY</a:t>
          </a:r>
        </a:p>
      </xdr:txBody>
    </xdr:sp>
    <xdr:clientData/>
  </xdr:oneCellAnchor>
  <xdr:twoCellAnchor>
    <xdr:from>
      <xdr:col>1</xdr:col>
      <xdr:colOff>1581150</xdr:colOff>
      <xdr:row>11</xdr:row>
      <xdr:rowOff>9525</xdr:rowOff>
    </xdr:from>
    <xdr:to>
      <xdr:col>3</xdr:col>
      <xdr:colOff>66675</xdr:colOff>
      <xdr:row>12</xdr:row>
      <xdr:rowOff>83585</xdr:rowOff>
    </xdr:to>
    <xdr:grpSp>
      <xdr:nvGrpSpPr>
        <xdr:cNvPr id="47" name="Groupe 46"/>
        <xdr:cNvGrpSpPr/>
      </xdr:nvGrpSpPr>
      <xdr:grpSpPr>
        <a:xfrm>
          <a:off x="1752600" y="2105025"/>
          <a:ext cx="1609725" cy="264560"/>
          <a:chOff x="981075" y="2105025"/>
          <a:chExt cx="986518" cy="264560"/>
        </a:xfrm>
      </xdr:grpSpPr>
      <xdr:sp macro="" textlink="">
        <xdr:nvSpPr>
          <xdr:cNvPr id="36" name="ZoneTexte 35"/>
          <xdr:cNvSpPr txBox="1"/>
        </xdr:nvSpPr>
        <xdr:spPr>
          <a:xfrm>
            <a:off x="981075" y="2105025"/>
            <a:ext cx="46467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YAFF</a:t>
            </a:r>
          </a:p>
        </xdr:txBody>
      </xdr:sp>
      <xdr:cxnSp macro="">
        <xdr:nvCxnSpPr>
          <xdr:cNvPr id="38" name="Connecteur droit avec flèche 37"/>
          <xdr:cNvCxnSpPr>
            <a:stCxn id="36" idx="3"/>
          </xdr:cNvCxnSpPr>
        </xdr:nvCxnSpPr>
        <xdr:spPr>
          <a:xfrm>
            <a:off x="1445754" y="2237305"/>
            <a:ext cx="521839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171450</xdr:colOff>
      <xdr:row>7</xdr:row>
      <xdr:rowOff>95250</xdr:rowOff>
    </xdr:from>
    <xdr:to>
      <xdr:col>19</xdr:col>
      <xdr:colOff>376918</xdr:colOff>
      <xdr:row>8</xdr:row>
      <xdr:rowOff>169310</xdr:rowOff>
    </xdr:to>
    <xdr:grpSp>
      <xdr:nvGrpSpPr>
        <xdr:cNvPr id="44" name="Groupe 43"/>
        <xdr:cNvGrpSpPr/>
      </xdr:nvGrpSpPr>
      <xdr:grpSpPr>
        <a:xfrm>
          <a:off x="8934450" y="1428750"/>
          <a:ext cx="986518" cy="264560"/>
          <a:chOff x="6581775" y="1400175"/>
          <a:chExt cx="986518" cy="264560"/>
        </a:xfrm>
      </xdr:grpSpPr>
      <xdr:sp macro="" textlink="">
        <xdr:nvSpPr>
          <xdr:cNvPr id="42" name="ZoneTexte 41"/>
          <xdr:cNvSpPr txBox="1"/>
        </xdr:nvSpPr>
        <xdr:spPr>
          <a:xfrm>
            <a:off x="6581775" y="1400175"/>
            <a:ext cx="75283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Y_affligne</a:t>
            </a:r>
          </a:p>
        </xdr:txBody>
      </xdr:sp>
      <xdr:cxnSp macro="">
        <xdr:nvCxnSpPr>
          <xdr:cNvPr id="43" name="Connecteur droit avec flèche 42"/>
          <xdr:cNvCxnSpPr>
            <a:stCxn id="42" idx="3"/>
          </xdr:cNvCxnSpPr>
        </xdr:nvCxnSpPr>
        <xdr:spPr>
          <a:xfrm>
            <a:off x="7331889" y="1532455"/>
            <a:ext cx="236404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1676399</xdr:colOff>
      <xdr:row>8</xdr:row>
      <xdr:rowOff>161925</xdr:rowOff>
    </xdr:from>
    <xdr:to>
      <xdr:col>3</xdr:col>
      <xdr:colOff>91167</xdr:colOff>
      <xdr:row>10</xdr:row>
      <xdr:rowOff>45485</xdr:rowOff>
    </xdr:to>
    <xdr:grpSp>
      <xdr:nvGrpSpPr>
        <xdr:cNvPr id="48" name="Groupe 47"/>
        <xdr:cNvGrpSpPr/>
      </xdr:nvGrpSpPr>
      <xdr:grpSpPr>
        <a:xfrm>
          <a:off x="1847849" y="1685925"/>
          <a:ext cx="1538968" cy="264560"/>
          <a:chOff x="981075" y="2105025"/>
          <a:chExt cx="986518" cy="264560"/>
        </a:xfrm>
      </xdr:grpSpPr>
      <xdr:sp macro="" textlink="">
        <xdr:nvSpPr>
          <xdr:cNvPr id="49" name="ZoneTexte 48"/>
          <xdr:cNvSpPr txBox="1"/>
        </xdr:nvSpPr>
        <xdr:spPr>
          <a:xfrm>
            <a:off x="981075" y="2105025"/>
            <a:ext cx="4356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Yobj</a:t>
            </a:r>
          </a:p>
        </xdr:txBody>
      </xdr:sp>
      <xdr:cxnSp macro="">
        <xdr:nvCxnSpPr>
          <xdr:cNvPr id="50" name="Connecteur droit avec flèche 49"/>
          <xdr:cNvCxnSpPr>
            <a:stCxn id="49" idx="3"/>
          </xdr:cNvCxnSpPr>
        </xdr:nvCxnSpPr>
        <xdr:spPr>
          <a:xfrm>
            <a:off x="1416707" y="2237305"/>
            <a:ext cx="550886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1533525</xdr:colOff>
      <xdr:row>7</xdr:row>
      <xdr:rowOff>142875</xdr:rowOff>
    </xdr:from>
    <xdr:to>
      <xdr:col>3</xdr:col>
      <xdr:colOff>91167</xdr:colOff>
      <xdr:row>9</xdr:row>
      <xdr:rowOff>26435</xdr:rowOff>
    </xdr:to>
    <xdr:grpSp>
      <xdr:nvGrpSpPr>
        <xdr:cNvPr id="39" name="Groupe 38"/>
        <xdr:cNvGrpSpPr/>
      </xdr:nvGrpSpPr>
      <xdr:grpSpPr>
        <a:xfrm>
          <a:off x="1704975" y="1476375"/>
          <a:ext cx="1681842" cy="264560"/>
          <a:chOff x="1275505" y="2085975"/>
          <a:chExt cx="692088" cy="264560"/>
        </a:xfrm>
      </xdr:grpSpPr>
      <xdr:sp macro="" textlink="">
        <xdr:nvSpPr>
          <xdr:cNvPr id="40" name="ZoneTexte 39"/>
          <xdr:cNvSpPr txBox="1"/>
        </xdr:nvSpPr>
        <xdr:spPr>
          <a:xfrm>
            <a:off x="1275505" y="2085975"/>
            <a:ext cx="43415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/>
              <a:t>YaffLigne</a:t>
            </a:r>
          </a:p>
        </xdr:txBody>
      </xdr:sp>
      <xdr:cxnSp macro="">
        <xdr:nvCxnSpPr>
          <xdr:cNvPr id="41" name="Connecteur droit avec flèche 40"/>
          <xdr:cNvCxnSpPr/>
        </xdr:nvCxnSpPr>
        <xdr:spPr>
          <a:xfrm flipV="1">
            <a:off x="1709513" y="2237305"/>
            <a:ext cx="258080" cy="107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128638</xdr:colOff>
      <xdr:row>6</xdr:row>
      <xdr:rowOff>142875</xdr:rowOff>
    </xdr:from>
    <xdr:to>
      <xdr:col>11</xdr:col>
      <xdr:colOff>2673</xdr:colOff>
      <xdr:row>11</xdr:row>
      <xdr:rowOff>116970</xdr:rowOff>
    </xdr:to>
    <xdr:sp macro="" textlink="">
      <xdr:nvSpPr>
        <xdr:cNvPr id="46" name="ZoneTexte 45"/>
        <xdr:cNvSpPr txBox="1"/>
      </xdr:nvSpPr>
      <xdr:spPr>
        <a:xfrm rot="16200000">
          <a:off x="5826945" y="1616893"/>
          <a:ext cx="9265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/>
            <a:t>DISPLAY_DY</a:t>
          </a:r>
        </a:p>
      </xdr:txBody>
    </xdr:sp>
    <xdr:clientData/>
  </xdr:twoCellAnchor>
  <xdr:twoCellAnchor>
    <xdr:from>
      <xdr:col>10</xdr:col>
      <xdr:colOff>361951</xdr:colOff>
      <xdr:row>4</xdr:row>
      <xdr:rowOff>171450</xdr:rowOff>
    </xdr:from>
    <xdr:to>
      <xdr:col>10</xdr:col>
      <xdr:colOff>371475</xdr:colOff>
      <xdr:row>11</xdr:row>
      <xdr:rowOff>152402</xdr:rowOff>
    </xdr:to>
    <xdr:cxnSp macro="">
      <xdr:nvCxnSpPr>
        <xdr:cNvPr id="51" name="Connecteur droit avec flèche 50"/>
        <xdr:cNvCxnSpPr/>
      </xdr:nvCxnSpPr>
      <xdr:spPr>
        <a:xfrm flipV="1">
          <a:off x="6391276" y="933450"/>
          <a:ext cx="9524" cy="131445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233412</xdr:colOff>
      <xdr:row>3</xdr:row>
      <xdr:rowOff>114300</xdr:rowOff>
    </xdr:from>
    <xdr:to>
      <xdr:col>10</xdr:col>
      <xdr:colOff>107447</xdr:colOff>
      <xdr:row>8</xdr:row>
      <xdr:rowOff>88395</xdr:rowOff>
    </xdr:to>
    <xdr:sp macro="" textlink="">
      <xdr:nvSpPr>
        <xdr:cNvPr id="52" name="ZoneTexte 51"/>
        <xdr:cNvSpPr txBox="1"/>
      </xdr:nvSpPr>
      <xdr:spPr>
        <a:xfrm rot="16200000">
          <a:off x="5541194" y="1016818"/>
          <a:ext cx="9265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/>
            <a:t>BITPLANE_DY</a:t>
          </a:r>
        </a:p>
      </xdr:txBody>
    </xdr:sp>
    <xdr:clientData/>
  </xdr:twoCellAnchor>
  <xdr:twoCellAnchor>
    <xdr:from>
      <xdr:col>10</xdr:col>
      <xdr:colOff>85725</xdr:colOff>
      <xdr:row>3</xdr:row>
      <xdr:rowOff>9525</xdr:rowOff>
    </xdr:from>
    <xdr:to>
      <xdr:col>10</xdr:col>
      <xdr:colOff>85725</xdr:colOff>
      <xdr:row>11</xdr:row>
      <xdr:rowOff>152402</xdr:rowOff>
    </xdr:to>
    <xdr:cxnSp macro="">
      <xdr:nvCxnSpPr>
        <xdr:cNvPr id="53" name="Connecteur droit avec flèche 52"/>
        <xdr:cNvCxnSpPr/>
      </xdr:nvCxnSpPr>
      <xdr:spPr>
        <a:xfrm flipV="1">
          <a:off x="6115050" y="581025"/>
          <a:ext cx="0" cy="166687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247650</xdr:colOff>
      <xdr:row>1</xdr:row>
      <xdr:rowOff>28573</xdr:rowOff>
    </xdr:from>
    <xdr:to>
      <xdr:col>25</xdr:col>
      <xdr:colOff>314325</xdr:colOff>
      <xdr:row>21</xdr:row>
      <xdr:rowOff>66674</xdr:rowOff>
    </xdr:to>
    <xdr:sp macro="" textlink="">
      <xdr:nvSpPr>
        <xdr:cNvPr id="54" name="Rectangle 53"/>
        <xdr:cNvSpPr/>
      </xdr:nvSpPr>
      <xdr:spPr>
        <a:xfrm>
          <a:off x="11353800" y="219073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323850</xdr:colOff>
      <xdr:row>17</xdr:row>
      <xdr:rowOff>95249</xdr:rowOff>
    </xdr:from>
    <xdr:to>
      <xdr:col>25</xdr:col>
      <xdr:colOff>238125</xdr:colOff>
      <xdr:row>22</xdr:row>
      <xdr:rowOff>38100</xdr:rowOff>
    </xdr:to>
    <xdr:sp macro="" textlink="">
      <xdr:nvSpPr>
        <xdr:cNvPr id="75" name="Rectangle 74"/>
        <xdr:cNvSpPr/>
      </xdr:nvSpPr>
      <xdr:spPr>
        <a:xfrm>
          <a:off x="11430000" y="33337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388172</xdr:colOff>
      <xdr:row>17</xdr:row>
      <xdr:rowOff>161925</xdr:rowOff>
    </xdr:from>
    <xdr:to>
      <xdr:col>25</xdr:col>
      <xdr:colOff>173802</xdr:colOff>
      <xdr:row>21</xdr:row>
      <xdr:rowOff>9525</xdr:rowOff>
    </xdr:to>
    <xdr:sp macro="" textlink="">
      <xdr:nvSpPr>
        <xdr:cNvPr id="55" name="Rectangle 54"/>
        <xdr:cNvSpPr/>
      </xdr:nvSpPr>
      <xdr:spPr>
        <a:xfrm>
          <a:off x="11494322" y="340042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28575</xdr:colOff>
      <xdr:row>1</xdr:row>
      <xdr:rowOff>28573</xdr:rowOff>
    </xdr:from>
    <xdr:to>
      <xdr:col>30</xdr:col>
      <xdr:colOff>95250</xdr:colOff>
      <xdr:row>21</xdr:row>
      <xdr:rowOff>66674</xdr:rowOff>
    </xdr:to>
    <xdr:sp macro="" textlink="">
      <xdr:nvSpPr>
        <xdr:cNvPr id="76" name="Rectangle 75"/>
        <xdr:cNvSpPr/>
      </xdr:nvSpPr>
      <xdr:spPr>
        <a:xfrm>
          <a:off x="13087350" y="219073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104775</xdr:colOff>
      <xdr:row>17</xdr:row>
      <xdr:rowOff>95249</xdr:rowOff>
    </xdr:from>
    <xdr:to>
      <xdr:col>30</xdr:col>
      <xdr:colOff>19050</xdr:colOff>
      <xdr:row>22</xdr:row>
      <xdr:rowOff>38100</xdr:rowOff>
    </xdr:to>
    <xdr:sp macro="" textlink="">
      <xdr:nvSpPr>
        <xdr:cNvPr id="77" name="Rectangle 76"/>
        <xdr:cNvSpPr/>
      </xdr:nvSpPr>
      <xdr:spPr>
        <a:xfrm>
          <a:off x="13163550" y="33337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104775</xdr:colOff>
      <xdr:row>12</xdr:row>
      <xdr:rowOff>142874</xdr:rowOff>
    </xdr:from>
    <xdr:to>
      <xdr:col>30</xdr:col>
      <xdr:colOff>19050</xdr:colOff>
      <xdr:row>17</xdr:row>
      <xdr:rowOff>85725</xdr:rowOff>
    </xdr:to>
    <xdr:sp macro="" textlink="">
      <xdr:nvSpPr>
        <xdr:cNvPr id="79" name="Rectangle 78"/>
        <xdr:cNvSpPr/>
      </xdr:nvSpPr>
      <xdr:spPr>
        <a:xfrm>
          <a:off x="13163550" y="242887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169097</xdr:colOff>
      <xdr:row>16</xdr:row>
      <xdr:rowOff>66675</xdr:rowOff>
    </xdr:from>
    <xdr:to>
      <xdr:col>29</xdr:col>
      <xdr:colOff>345252</xdr:colOff>
      <xdr:row>19</xdr:row>
      <xdr:rowOff>104775</xdr:rowOff>
    </xdr:to>
    <xdr:sp macro="" textlink="">
      <xdr:nvSpPr>
        <xdr:cNvPr id="78" name="Rectangle 77"/>
        <xdr:cNvSpPr/>
      </xdr:nvSpPr>
      <xdr:spPr>
        <a:xfrm>
          <a:off x="13227872" y="311467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19049</xdr:colOff>
      <xdr:row>20</xdr:row>
      <xdr:rowOff>85724</xdr:rowOff>
    </xdr:from>
    <xdr:to>
      <xdr:col>23</xdr:col>
      <xdr:colOff>314325</xdr:colOff>
      <xdr:row>21</xdr:row>
      <xdr:rowOff>159784</xdr:rowOff>
    </xdr:to>
    <xdr:grpSp>
      <xdr:nvGrpSpPr>
        <xdr:cNvPr id="80" name="Groupe 79"/>
        <xdr:cNvGrpSpPr/>
      </xdr:nvGrpSpPr>
      <xdr:grpSpPr>
        <a:xfrm>
          <a:off x="10344149" y="3895724"/>
          <a:ext cx="1076326" cy="264560"/>
          <a:chOff x="981074" y="2105024"/>
          <a:chExt cx="986519" cy="264560"/>
        </a:xfrm>
      </xdr:grpSpPr>
      <xdr:sp macro="" textlink="">
        <xdr:nvSpPr>
          <xdr:cNvPr id="81" name="ZoneTexte 80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0</a:t>
            </a:r>
          </a:p>
        </xdr:txBody>
      </xdr:sp>
      <xdr:cxnSp macro="">
        <xdr:nvCxnSpPr>
          <xdr:cNvPr id="82" name="Connecteur droit avec flèche 81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9525</xdr:colOff>
      <xdr:row>17</xdr:row>
      <xdr:rowOff>66672</xdr:rowOff>
    </xdr:from>
    <xdr:to>
      <xdr:col>23</xdr:col>
      <xdr:colOff>314325</xdr:colOff>
      <xdr:row>18</xdr:row>
      <xdr:rowOff>133347</xdr:rowOff>
    </xdr:to>
    <xdr:grpSp>
      <xdr:nvGrpSpPr>
        <xdr:cNvPr id="84" name="Groupe 83"/>
        <xdr:cNvGrpSpPr/>
      </xdr:nvGrpSpPr>
      <xdr:grpSpPr>
        <a:xfrm>
          <a:off x="10334625" y="3305172"/>
          <a:ext cx="1085850" cy="257175"/>
          <a:chOff x="1152643" y="2105025"/>
          <a:chExt cx="814950" cy="294831"/>
        </a:xfrm>
      </xdr:grpSpPr>
      <xdr:sp macro="" textlink="">
        <xdr:nvSpPr>
          <xdr:cNvPr id="85" name="ZoneTexte 84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0</a:t>
            </a:r>
          </a:p>
        </xdr:txBody>
      </xdr:sp>
      <xdr:cxnSp macro="">
        <xdr:nvCxnSpPr>
          <xdr:cNvPr id="86" name="Connecteur droit avec flèche 85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209549</xdr:colOff>
      <xdr:row>18</xdr:row>
      <xdr:rowOff>152399</xdr:rowOff>
    </xdr:from>
    <xdr:to>
      <xdr:col>28</xdr:col>
      <xdr:colOff>114300</xdr:colOff>
      <xdr:row>20</xdr:row>
      <xdr:rowOff>35959</xdr:rowOff>
    </xdr:to>
    <xdr:grpSp>
      <xdr:nvGrpSpPr>
        <xdr:cNvPr id="92" name="Groupe 91"/>
        <xdr:cNvGrpSpPr/>
      </xdr:nvGrpSpPr>
      <xdr:grpSpPr>
        <a:xfrm>
          <a:off x="12096749" y="3581399"/>
          <a:ext cx="1076326" cy="264560"/>
          <a:chOff x="981074" y="2105024"/>
          <a:chExt cx="986519" cy="264560"/>
        </a:xfrm>
      </xdr:grpSpPr>
      <xdr:sp macro="" textlink="">
        <xdr:nvSpPr>
          <xdr:cNvPr id="93" name="ZoneTexte 92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100</a:t>
            </a:r>
          </a:p>
        </xdr:txBody>
      </xdr:sp>
      <xdr:cxnSp macro="">
        <xdr:nvCxnSpPr>
          <xdr:cNvPr id="94" name="Connecteur droit avec flèche 93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19050</xdr:colOff>
      <xdr:row>15</xdr:row>
      <xdr:rowOff>161922</xdr:rowOff>
    </xdr:from>
    <xdr:to>
      <xdr:col>28</xdr:col>
      <xdr:colOff>142875</xdr:colOff>
      <xdr:row>17</xdr:row>
      <xdr:rowOff>38097</xdr:rowOff>
    </xdr:to>
    <xdr:grpSp>
      <xdr:nvGrpSpPr>
        <xdr:cNvPr id="95" name="Groupe 94"/>
        <xdr:cNvGrpSpPr/>
      </xdr:nvGrpSpPr>
      <xdr:grpSpPr>
        <a:xfrm>
          <a:off x="11906250" y="3019422"/>
          <a:ext cx="1295400" cy="257175"/>
          <a:chOff x="1152643" y="2105025"/>
          <a:chExt cx="814950" cy="294831"/>
        </a:xfrm>
      </xdr:grpSpPr>
      <xdr:sp macro="" textlink="">
        <xdr:nvSpPr>
          <xdr:cNvPr id="96" name="ZoneTexte 95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188</a:t>
            </a:r>
          </a:p>
        </xdr:txBody>
      </xdr:sp>
      <xdr:cxnSp macro="">
        <xdr:nvCxnSpPr>
          <xdr:cNvPr id="97" name="Connecteur droit avec flèche 96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190500</xdr:colOff>
      <xdr:row>1</xdr:row>
      <xdr:rowOff>28573</xdr:rowOff>
    </xdr:from>
    <xdr:to>
      <xdr:col>34</xdr:col>
      <xdr:colOff>257175</xdr:colOff>
      <xdr:row>21</xdr:row>
      <xdr:rowOff>66674</xdr:rowOff>
    </xdr:to>
    <xdr:sp macro="" textlink="">
      <xdr:nvSpPr>
        <xdr:cNvPr id="98" name="Rectangle 97"/>
        <xdr:cNvSpPr/>
      </xdr:nvSpPr>
      <xdr:spPr>
        <a:xfrm>
          <a:off x="14811375" y="219073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266700</xdr:colOff>
      <xdr:row>17</xdr:row>
      <xdr:rowOff>95249</xdr:rowOff>
    </xdr:from>
    <xdr:to>
      <xdr:col>34</xdr:col>
      <xdr:colOff>180975</xdr:colOff>
      <xdr:row>22</xdr:row>
      <xdr:rowOff>38100</xdr:rowOff>
    </xdr:to>
    <xdr:sp macro="" textlink="">
      <xdr:nvSpPr>
        <xdr:cNvPr id="99" name="Rectangle 98"/>
        <xdr:cNvSpPr/>
      </xdr:nvSpPr>
      <xdr:spPr>
        <a:xfrm>
          <a:off x="14887575" y="33337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32</xdr:col>
      <xdr:colOff>266700</xdr:colOff>
      <xdr:row>12</xdr:row>
      <xdr:rowOff>142874</xdr:rowOff>
    </xdr:from>
    <xdr:to>
      <xdr:col>34</xdr:col>
      <xdr:colOff>180975</xdr:colOff>
      <xdr:row>17</xdr:row>
      <xdr:rowOff>85725</xdr:rowOff>
    </xdr:to>
    <xdr:sp macro="" textlink="">
      <xdr:nvSpPr>
        <xdr:cNvPr id="100" name="Rectangle 99"/>
        <xdr:cNvSpPr/>
      </xdr:nvSpPr>
      <xdr:spPr>
        <a:xfrm>
          <a:off x="14887575" y="242887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32</xdr:col>
      <xdr:colOff>331022</xdr:colOff>
      <xdr:row>15</xdr:row>
      <xdr:rowOff>9525</xdr:rowOff>
    </xdr:from>
    <xdr:to>
      <xdr:col>34</xdr:col>
      <xdr:colOff>116652</xdr:colOff>
      <xdr:row>18</xdr:row>
      <xdr:rowOff>47625</xdr:rowOff>
    </xdr:to>
    <xdr:sp macro="" textlink="">
      <xdr:nvSpPr>
        <xdr:cNvPr id="101" name="Rectangle 100"/>
        <xdr:cNvSpPr/>
      </xdr:nvSpPr>
      <xdr:spPr>
        <a:xfrm>
          <a:off x="14951897" y="286702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371474</xdr:colOff>
      <xdr:row>17</xdr:row>
      <xdr:rowOff>104774</xdr:rowOff>
    </xdr:from>
    <xdr:to>
      <xdr:col>32</xdr:col>
      <xdr:colOff>276225</xdr:colOff>
      <xdr:row>18</xdr:row>
      <xdr:rowOff>178834</xdr:rowOff>
    </xdr:to>
    <xdr:grpSp>
      <xdr:nvGrpSpPr>
        <xdr:cNvPr id="102" name="Groupe 101"/>
        <xdr:cNvGrpSpPr/>
      </xdr:nvGrpSpPr>
      <xdr:grpSpPr>
        <a:xfrm>
          <a:off x="13820774" y="3343274"/>
          <a:ext cx="1076326" cy="264560"/>
          <a:chOff x="981074" y="2105024"/>
          <a:chExt cx="986519" cy="264560"/>
        </a:xfrm>
      </xdr:grpSpPr>
      <xdr:sp macro="" textlink="">
        <xdr:nvSpPr>
          <xdr:cNvPr id="103" name="ZoneTexte 102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240</a:t>
            </a:r>
          </a:p>
        </xdr:txBody>
      </xdr:sp>
      <xdr:cxnSp macro="">
        <xdr:nvCxnSpPr>
          <xdr:cNvPr id="104" name="Connecteur droit avec flèche 103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171450</xdr:colOff>
      <xdr:row>14</xdr:row>
      <xdr:rowOff>85722</xdr:rowOff>
    </xdr:from>
    <xdr:to>
      <xdr:col>32</xdr:col>
      <xdr:colOff>295275</xdr:colOff>
      <xdr:row>15</xdr:row>
      <xdr:rowOff>152397</xdr:rowOff>
    </xdr:to>
    <xdr:grpSp>
      <xdr:nvGrpSpPr>
        <xdr:cNvPr id="105" name="Groupe 104"/>
        <xdr:cNvGrpSpPr/>
      </xdr:nvGrpSpPr>
      <xdr:grpSpPr>
        <a:xfrm>
          <a:off x="13620750" y="2752722"/>
          <a:ext cx="1295400" cy="257175"/>
          <a:chOff x="1152643" y="2105025"/>
          <a:chExt cx="814950" cy="294831"/>
        </a:xfrm>
      </xdr:grpSpPr>
      <xdr:sp macro="" textlink="">
        <xdr:nvSpPr>
          <xdr:cNvPr id="106" name="ZoneTexte 105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48</a:t>
            </a:r>
          </a:p>
        </xdr:txBody>
      </xdr:sp>
      <xdr:cxnSp macro="">
        <xdr:nvCxnSpPr>
          <xdr:cNvPr id="107" name="Connecteur droit avec flèche 106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161925</xdr:colOff>
      <xdr:row>1</xdr:row>
      <xdr:rowOff>19048</xdr:rowOff>
    </xdr:from>
    <xdr:to>
      <xdr:col>39</xdr:col>
      <xdr:colOff>247650</xdr:colOff>
      <xdr:row>21</xdr:row>
      <xdr:rowOff>57149</xdr:rowOff>
    </xdr:to>
    <xdr:sp macro="" textlink="">
      <xdr:nvSpPr>
        <xdr:cNvPr id="108" name="Rectangle 107"/>
        <xdr:cNvSpPr/>
      </xdr:nvSpPr>
      <xdr:spPr>
        <a:xfrm>
          <a:off x="16735425" y="209548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238125</xdr:colOff>
      <xdr:row>17</xdr:row>
      <xdr:rowOff>85724</xdr:rowOff>
    </xdr:from>
    <xdr:to>
      <xdr:col>39</xdr:col>
      <xdr:colOff>171450</xdr:colOff>
      <xdr:row>22</xdr:row>
      <xdr:rowOff>28575</xdr:rowOff>
    </xdr:to>
    <xdr:sp macro="" textlink="">
      <xdr:nvSpPr>
        <xdr:cNvPr id="109" name="Rectangle 108"/>
        <xdr:cNvSpPr/>
      </xdr:nvSpPr>
      <xdr:spPr>
        <a:xfrm>
          <a:off x="16811625" y="332422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238125</xdr:colOff>
      <xdr:row>12</xdr:row>
      <xdr:rowOff>133349</xdr:rowOff>
    </xdr:from>
    <xdr:to>
      <xdr:col>39</xdr:col>
      <xdr:colOff>171450</xdr:colOff>
      <xdr:row>17</xdr:row>
      <xdr:rowOff>76200</xdr:rowOff>
    </xdr:to>
    <xdr:sp macro="" textlink="">
      <xdr:nvSpPr>
        <xdr:cNvPr id="110" name="Rectangle 109"/>
        <xdr:cNvSpPr/>
      </xdr:nvSpPr>
      <xdr:spPr>
        <a:xfrm>
          <a:off x="16811625" y="24193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302447</xdr:colOff>
      <xdr:row>13</xdr:row>
      <xdr:rowOff>171450</xdr:rowOff>
    </xdr:from>
    <xdr:to>
      <xdr:col>39</xdr:col>
      <xdr:colOff>107127</xdr:colOff>
      <xdr:row>17</xdr:row>
      <xdr:rowOff>19050</xdr:rowOff>
    </xdr:to>
    <xdr:sp macro="" textlink="">
      <xdr:nvSpPr>
        <xdr:cNvPr id="111" name="Rectangle 110"/>
        <xdr:cNvSpPr/>
      </xdr:nvSpPr>
      <xdr:spPr>
        <a:xfrm>
          <a:off x="16875947" y="2647950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34</xdr:col>
      <xdr:colOff>314324</xdr:colOff>
      <xdr:row>16</xdr:row>
      <xdr:rowOff>76199</xdr:rowOff>
    </xdr:from>
    <xdr:to>
      <xdr:col>37</xdr:col>
      <xdr:colOff>219075</xdr:colOff>
      <xdr:row>17</xdr:row>
      <xdr:rowOff>150259</xdr:rowOff>
    </xdr:to>
    <xdr:grpSp>
      <xdr:nvGrpSpPr>
        <xdr:cNvPr id="112" name="Groupe 111"/>
        <xdr:cNvGrpSpPr/>
      </xdr:nvGrpSpPr>
      <xdr:grpSpPr>
        <a:xfrm>
          <a:off x="15716249" y="3124199"/>
          <a:ext cx="1076326" cy="264560"/>
          <a:chOff x="981074" y="2105024"/>
          <a:chExt cx="986519" cy="264560"/>
        </a:xfrm>
      </xdr:grpSpPr>
      <xdr:sp macro="" textlink="">
        <xdr:nvSpPr>
          <xdr:cNvPr id="113" name="ZoneTexte 112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260</a:t>
            </a:r>
          </a:p>
        </xdr:txBody>
      </xdr:sp>
      <xdr:cxnSp macro="">
        <xdr:nvCxnSpPr>
          <xdr:cNvPr id="114" name="Connecteur droit avec flèche 113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57150</xdr:colOff>
      <xdr:row>13</xdr:row>
      <xdr:rowOff>76197</xdr:rowOff>
    </xdr:from>
    <xdr:to>
      <xdr:col>37</xdr:col>
      <xdr:colOff>180975</xdr:colOff>
      <xdr:row>14</xdr:row>
      <xdr:rowOff>142872</xdr:rowOff>
    </xdr:to>
    <xdr:grpSp>
      <xdr:nvGrpSpPr>
        <xdr:cNvPr id="115" name="Groupe 114"/>
        <xdr:cNvGrpSpPr/>
      </xdr:nvGrpSpPr>
      <xdr:grpSpPr>
        <a:xfrm>
          <a:off x="15459075" y="2552697"/>
          <a:ext cx="1295400" cy="257175"/>
          <a:chOff x="1152643" y="2105025"/>
          <a:chExt cx="814950" cy="294831"/>
        </a:xfrm>
      </xdr:grpSpPr>
      <xdr:sp macro="" textlink="">
        <xdr:nvSpPr>
          <xdr:cNvPr id="116" name="ZoneTexte 115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28</a:t>
            </a:r>
          </a:p>
        </xdr:txBody>
      </xdr:sp>
      <xdr:cxnSp macro="">
        <xdr:nvCxnSpPr>
          <xdr:cNvPr id="117" name="Connecteur droit avec flèche 116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238125</xdr:colOff>
      <xdr:row>7</xdr:row>
      <xdr:rowOff>190499</xdr:rowOff>
    </xdr:from>
    <xdr:to>
      <xdr:col>39</xdr:col>
      <xdr:colOff>171450</xdr:colOff>
      <xdr:row>12</xdr:row>
      <xdr:rowOff>133350</xdr:rowOff>
    </xdr:to>
    <xdr:sp macro="" textlink="">
      <xdr:nvSpPr>
        <xdr:cNvPr id="118" name="Rectangle 117"/>
        <xdr:cNvSpPr/>
      </xdr:nvSpPr>
      <xdr:spPr>
        <a:xfrm>
          <a:off x="16811625" y="152399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238125</xdr:colOff>
      <xdr:row>3</xdr:row>
      <xdr:rowOff>47624</xdr:rowOff>
    </xdr:from>
    <xdr:to>
      <xdr:col>39</xdr:col>
      <xdr:colOff>171450</xdr:colOff>
      <xdr:row>7</xdr:row>
      <xdr:rowOff>180975</xdr:rowOff>
    </xdr:to>
    <xdr:sp macro="" textlink="">
      <xdr:nvSpPr>
        <xdr:cNvPr id="119" name="Rectangle 118"/>
        <xdr:cNvSpPr/>
      </xdr:nvSpPr>
      <xdr:spPr>
        <a:xfrm>
          <a:off x="16811625" y="61912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302447</xdr:colOff>
      <xdr:row>4</xdr:row>
      <xdr:rowOff>85725</xdr:rowOff>
    </xdr:from>
    <xdr:to>
      <xdr:col>39</xdr:col>
      <xdr:colOff>107127</xdr:colOff>
      <xdr:row>7</xdr:row>
      <xdr:rowOff>123825</xdr:rowOff>
    </xdr:to>
    <xdr:sp macro="" textlink="">
      <xdr:nvSpPr>
        <xdr:cNvPr id="120" name="Rectangle 119"/>
        <xdr:cNvSpPr/>
      </xdr:nvSpPr>
      <xdr:spPr>
        <a:xfrm>
          <a:off x="16875947" y="84772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34</xdr:col>
      <xdr:colOff>314324</xdr:colOff>
      <xdr:row>6</xdr:row>
      <xdr:rowOff>180974</xdr:rowOff>
    </xdr:from>
    <xdr:to>
      <xdr:col>37</xdr:col>
      <xdr:colOff>219075</xdr:colOff>
      <xdr:row>8</xdr:row>
      <xdr:rowOff>64534</xdr:rowOff>
    </xdr:to>
    <xdr:grpSp>
      <xdr:nvGrpSpPr>
        <xdr:cNvPr id="121" name="Groupe 120"/>
        <xdr:cNvGrpSpPr/>
      </xdr:nvGrpSpPr>
      <xdr:grpSpPr>
        <a:xfrm>
          <a:off x="15716249" y="1323974"/>
          <a:ext cx="1076326" cy="264560"/>
          <a:chOff x="981074" y="2105024"/>
          <a:chExt cx="986519" cy="264560"/>
        </a:xfrm>
      </xdr:grpSpPr>
      <xdr:sp macro="" textlink="">
        <xdr:nvSpPr>
          <xdr:cNvPr id="122" name="ZoneTexte 121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883</a:t>
            </a:r>
          </a:p>
        </xdr:txBody>
      </xdr:sp>
      <xdr:cxnSp macro="">
        <xdr:nvCxnSpPr>
          <xdr:cNvPr id="123" name="Connecteur droit avec flèche 122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57150</xdr:colOff>
      <xdr:row>3</xdr:row>
      <xdr:rowOff>180972</xdr:rowOff>
    </xdr:from>
    <xdr:to>
      <xdr:col>37</xdr:col>
      <xdr:colOff>180975</xdr:colOff>
      <xdr:row>5</xdr:row>
      <xdr:rowOff>57147</xdr:rowOff>
    </xdr:to>
    <xdr:grpSp>
      <xdr:nvGrpSpPr>
        <xdr:cNvPr id="124" name="Groupe 123"/>
        <xdr:cNvGrpSpPr/>
      </xdr:nvGrpSpPr>
      <xdr:grpSpPr>
        <a:xfrm>
          <a:off x="15459075" y="752472"/>
          <a:ext cx="1295400" cy="257175"/>
          <a:chOff x="1152643" y="2105025"/>
          <a:chExt cx="814950" cy="294831"/>
        </a:xfrm>
      </xdr:grpSpPr>
      <xdr:sp macro="" textlink="">
        <xdr:nvSpPr>
          <xdr:cNvPr id="125" name="ZoneTexte 124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28</a:t>
            </a:r>
          </a:p>
        </xdr:txBody>
      </xdr:sp>
      <xdr:cxnSp macro="">
        <xdr:nvCxnSpPr>
          <xdr:cNvPr id="126" name="Connecteur droit avec flèche 125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H43"/>
  <sheetViews>
    <sheetView showGridLines="0" tabSelected="1" topLeftCell="A4" zoomScaleNormal="100" workbookViewId="0">
      <selection activeCell="C26" sqref="C26"/>
    </sheetView>
  </sheetViews>
  <sheetFormatPr baseColWidth="10" defaultRowHeight="15" x14ac:dyDescent="0.25"/>
  <cols>
    <col min="1" max="1" width="2.5703125" customWidth="1"/>
    <col min="2" max="2" width="41" customWidth="1"/>
    <col min="3" max="38" width="5.85546875" customWidth="1"/>
    <col min="39" max="70" width="5.5703125" customWidth="1"/>
  </cols>
  <sheetData>
    <row r="3" spans="2:2" x14ac:dyDescent="0.25">
      <c r="B3" t="s">
        <v>7</v>
      </c>
    </row>
    <row r="4" spans="2:2" x14ac:dyDescent="0.25">
      <c r="B4" t="s">
        <v>5</v>
      </c>
    </row>
    <row r="5" spans="2:2" x14ac:dyDescent="0.25">
      <c r="B5" t="s">
        <v>6</v>
      </c>
    </row>
    <row r="18" spans="2:60" x14ac:dyDescent="0.25">
      <c r="B18" t="s">
        <v>9</v>
      </c>
      <c r="C18" s="2">
        <v>255</v>
      </c>
    </row>
    <row r="19" spans="2:60" x14ac:dyDescent="0.25">
      <c r="B19" t="s">
        <v>10</v>
      </c>
      <c r="C19" s="2">
        <f>256+32</f>
        <v>288</v>
      </c>
    </row>
    <row r="20" spans="2:60" x14ac:dyDescent="0.25">
      <c r="B20" t="s">
        <v>16</v>
      </c>
      <c r="C20" s="4">
        <v>240</v>
      </c>
    </row>
    <row r="22" spans="2:60" x14ac:dyDescent="0.25">
      <c r="B22" t="s">
        <v>11</v>
      </c>
      <c r="C22" s="3">
        <f>MOD(YAFFR0,BP_DY)</f>
        <v>240</v>
      </c>
    </row>
    <row r="23" spans="2:60" x14ac:dyDescent="0.25">
      <c r="B23" t="s">
        <v>15</v>
      </c>
      <c r="C23" s="3">
        <f>IF(BP_DY-C22=BP_DY,0,BP_DY-C22)</f>
        <v>48</v>
      </c>
      <c r="E23" t="s">
        <v>13</v>
      </c>
    </row>
    <row r="24" spans="2:60" x14ac:dyDescent="0.25">
      <c r="C24" s="1"/>
    </row>
    <row r="25" spans="2:60" x14ac:dyDescent="0.25">
      <c r="B25" s="6" t="s">
        <v>8</v>
      </c>
      <c r="C25" s="4">
        <v>240</v>
      </c>
      <c r="D25" s="3">
        <f>C25+10</f>
        <v>250</v>
      </c>
      <c r="E25" s="3">
        <f t="shared" ref="E25:BH25" si="0">D25+10</f>
        <v>260</v>
      </c>
      <c r="F25" s="3">
        <f t="shared" si="0"/>
        <v>270</v>
      </c>
      <c r="G25" s="3">
        <f t="shared" si="0"/>
        <v>280</v>
      </c>
      <c r="H25" s="3">
        <f t="shared" si="0"/>
        <v>290</v>
      </c>
      <c r="I25" s="3">
        <f t="shared" si="0"/>
        <v>300</v>
      </c>
      <c r="J25" s="3">
        <f t="shared" si="0"/>
        <v>310</v>
      </c>
      <c r="K25" s="3">
        <f t="shared" si="0"/>
        <v>320</v>
      </c>
      <c r="L25" s="3">
        <f t="shared" si="0"/>
        <v>330</v>
      </c>
      <c r="M25" s="3">
        <f t="shared" si="0"/>
        <v>340</v>
      </c>
      <c r="N25" s="3">
        <f t="shared" si="0"/>
        <v>350</v>
      </c>
      <c r="O25" s="3">
        <f t="shared" si="0"/>
        <v>360</v>
      </c>
      <c r="P25" s="3">
        <f t="shared" si="0"/>
        <v>370</v>
      </c>
      <c r="Q25" s="3">
        <f t="shared" si="0"/>
        <v>380</v>
      </c>
      <c r="R25" s="3">
        <f t="shared" si="0"/>
        <v>390</v>
      </c>
      <c r="S25" s="3">
        <f t="shared" si="0"/>
        <v>400</v>
      </c>
      <c r="T25" s="3">
        <f t="shared" si="0"/>
        <v>410</v>
      </c>
      <c r="U25" s="3">
        <f t="shared" si="0"/>
        <v>420</v>
      </c>
      <c r="V25" s="3">
        <f t="shared" si="0"/>
        <v>430</v>
      </c>
      <c r="W25" s="3">
        <f t="shared" si="0"/>
        <v>440</v>
      </c>
      <c r="X25" s="3">
        <f t="shared" si="0"/>
        <v>450</v>
      </c>
      <c r="Y25" s="3">
        <f t="shared" si="0"/>
        <v>460</v>
      </c>
      <c r="Z25" s="3">
        <f t="shared" si="0"/>
        <v>470</v>
      </c>
      <c r="AA25" s="3">
        <f t="shared" si="0"/>
        <v>480</v>
      </c>
      <c r="AB25" s="3">
        <f t="shared" si="0"/>
        <v>490</v>
      </c>
      <c r="AC25" s="3">
        <f t="shared" si="0"/>
        <v>500</v>
      </c>
      <c r="AD25" s="3">
        <f t="shared" si="0"/>
        <v>510</v>
      </c>
      <c r="AE25" s="3">
        <f t="shared" si="0"/>
        <v>520</v>
      </c>
      <c r="AF25" s="3">
        <f t="shared" si="0"/>
        <v>530</v>
      </c>
      <c r="AG25" s="3">
        <f t="shared" si="0"/>
        <v>540</v>
      </c>
      <c r="AH25" s="3">
        <f t="shared" si="0"/>
        <v>550</v>
      </c>
      <c r="AI25" s="3">
        <f t="shared" si="0"/>
        <v>560</v>
      </c>
      <c r="AJ25" s="3">
        <f t="shared" si="0"/>
        <v>570</v>
      </c>
      <c r="AK25" s="3">
        <f t="shared" si="0"/>
        <v>580</v>
      </c>
      <c r="AL25" s="3">
        <f t="shared" si="0"/>
        <v>590</v>
      </c>
      <c r="AM25" s="3">
        <f t="shared" si="0"/>
        <v>600</v>
      </c>
      <c r="AN25" s="3">
        <f t="shared" si="0"/>
        <v>610</v>
      </c>
      <c r="AO25" s="3">
        <f t="shared" si="0"/>
        <v>620</v>
      </c>
      <c r="AP25" s="3">
        <f t="shared" si="0"/>
        <v>630</v>
      </c>
      <c r="AQ25" s="3">
        <f t="shared" si="0"/>
        <v>640</v>
      </c>
      <c r="AR25" s="3">
        <f t="shared" si="0"/>
        <v>650</v>
      </c>
      <c r="AS25" s="3">
        <f t="shared" si="0"/>
        <v>660</v>
      </c>
      <c r="AT25" s="3">
        <f t="shared" si="0"/>
        <v>670</v>
      </c>
      <c r="AU25" s="3">
        <f t="shared" si="0"/>
        <v>680</v>
      </c>
      <c r="AV25" s="3">
        <f t="shared" si="0"/>
        <v>690</v>
      </c>
      <c r="AW25" s="3">
        <f t="shared" si="0"/>
        <v>700</v>
      </c>
      <c r="AX25" s="3">
        <f t="shared" si="0"/>
        <v>710</v>
      </c>
      <c r="AY25" s="3">
        <f t="shared" si="0"/>
        <v>720</v>
      </c>
      <c r="AZ25" s="3">
        <f t="shared" si="0"/>
        <v>730</v>
      </c>
      <c r="BA25" s="3">
        <f t="shared" si="0"/>
        <v>740</v>
      </c>
      <c r="BB25" s="3">
        <f t="shared" si="0"/>
        <v>750</v>
      </c>
      <c r="BC25" s="3">
        <f t="shared" si="0"/>
        <v>760</v>
      </c>
      <c r="BD25" s="3">
        <f t="shared" si="0"/>
        <v>770</v>
      </c>
      <c r="BE25" s="3">
        <f t="shared" si="0"/>
        <v>780</v>
      </c>
      <c r="BF25" s="3">
        <f t="shared" si="0"/>
        <v>790</v>
      </c>
      <c r="BG25" s="3">
        <f t="shared" si="0"/>
        <v>800</v>
      </c>
      <c r="BH25" s="3">
        <f t="shared" si="0"/>
        <v>810</v>
      </c>
    </row>
    <row r="26" spans="2:60" x14ac:dyDescent="0.25">
      <c r="B26" t="s">
        <v>12</v>
      </c>
      <c r="C26" s="3">
        <f t="shared" ref="C26:AK26" si="1">C25-YAFFR0</f>
        <v>0</v>
      </c>
      <c r="D26" s="3">
        <f t="shared" si="1"/>
        <v>10</v>
      </c>
      <c r="E26" s="3">
        <f t="shared" si="1"/>
        <v>20</v>
      </c>
      <c r="F26" s="3">
        <f t="shared" si="1"/>
        <v>30</v>
      </c>
      <c r="G26" s="3">
        <f t="shared" si="1"/>
        <v>40</v>
      </c>
      <c r="H26" s="3">
        <f t="shared" si="1"/>
        <v>50</v>
      </c>
      <c r="I26" s="3">
        <f t="shared" si="1"/>
        <v>60</v>
      </c>
      <c r="J26" s="3">
        <f t="shared" si="1"/>
        <v>70</v>
      </c>
      <c r="K26" s="3">
        <f t="shared" si="1"/>
        <v>80</v>
      </c>
      <c r="L26" s="3">
        <f t="shared" si="1"/>
        <v>90</v>
      </c>
      <c r="M26" s="3">
        <f t="shared" si="1"/>
        <v>100</v>
      </c>
      <c r="N26" s="3">
        <f t="shared" si="1"/>
        <v>110</v>
      </c>
      <c r="O26" s="3">
        <f t="shared" si="1"/>
        <v>120</v>
      </c>
      <c r="P26" s="3">
        <f t="shared" si="1"/>
        <v>130</v>
      </c>
      <c r="Q26" s="3">
        <f t="shared" si="1"/>
        <v>140</v>
      </c>
      <c r="R26" s="3">
        <f t="shared" si="1"/>
        <v>150</v>
      </c>
      <c r="S26" s="3">
        <f t="shared" si="1"/>
        <v>160</v>
      </c>
      <c r="T26" s="3">
        <f t="shared" si="1"/>
        <v>170</v>
      </c>
      <c r="U26" s="3">
        <f t="shared" si="1"/>
        <v>180</v>
      </c>
      <c r="V26" s="3">
        <f t="shared" si="1"/>
        <v>190</v>
      </c>
      <c r="W26" s="3">
        <f t="shared" si="1"/>
        <v>200</v>
      </c>
      <c r="X26" s="3">
        <f t="shared" si="1"/>
        <v>210</v>
      </c>
      <c r="Y26" s="3">
        <f t="shared" si="1"/>
        <v>220</v>
      </c>
      <c r="Z26" s="3">
        <f t="shared" si="1"/>
        <v>230</v>
      </c>
      <c r="AA26" s="3">
        <f t="shared" si="1"/>
        <v>240</v>
      </c>
      <c r="AB26" s="3">
        <f t="shared" si="1"/>
        <v>250</v>
      </c>
      <c r="AC26" s="3">
        <f t="shared" si="1"/>
        <v>260</v>
      </c>
      <c r="AD26" s="3">
        <f t="shared" si="1"/>
        <v>270</v>
      </c>
      <c r="AE26" s="3">
        <f t="shared" si="1"/>
        <v>280</v>
      </c>
      <c r="AF26" s="3">
        <f t="shared" si="1"/>
        <v>290</v>
      </c>
      <c r="AG26" s="3">
        <f t="shared" si="1"/>
        <v>300</v>
      </c>
      <c r="AH26" s="3">
        <f t="shared" si="1"/>
        <v>310</v>
      </c>
      <c r="AI26" s="3">
        <f t="shared" si="1"/>
        <v>320</v>
      </c>
      <c r="AJ26" s="3">
        <f t="shared" si="1"/>
        <v>330</v>
      </c>
      <c r="AK26" s="3">
        <f t="shared" si="1"/>
        <v>340</v>
      </c>
      <c r="AL26" s="3">
        <f t="shared" ref="AL26" si="2">AL25-YAFFR0</f>
        <v>350</v>
      </c>
      <c r="AM26" s="3">
        <f t="shared" ref="AM26" si="3">AM25-YAFFR0</f>
        <v>360</v>
      </c>
      <c r="AN26" s="3">
        <f t="shared" ref="AN26" si="4">AN25-YAFFR0</f>
        <v>370</v>
      </c>
      <c r="AO26" s="3">
        <f t="shared" ref="AO26" si="5">AO25-YAFFR0</f>
        <v>380</v>
      </c>
      <c r="AP26" s="3">
        <f t="shared" ref="AP26" si="6">AP25-YAFFR0</f>
        <v>390</v>
      </c>
      <c r="AQ26" s="3">
        <f t="shared" ref="AQ26" si="7">AQ25-YAFFR0</f>
        <v>400</v>
      </c>
      <c r="AR26" s="3">
        <f t="shared" ref="AR26" si="8">AR25-YAFFR0</f>
        <v>410</v>
      </c>
      <c r="AS26" s="3">
        <f t="shared" ref="AS26" si="9">AS25-YAFFR0</f>
        <v>420</v>
      </c>
      <c r="AT26" s="3">
        <f t="shared" ref="AT26" si="10">AT25-YAFFR0</f>
        <v>430</v>
      </c>
      <c r="AU26" s="3">
        <f t="shared" ref="AU26" si="11">AU25-YAFFR0</f>
        <v>440</v>
      </c>
      <c r="AV26" s="3">
        <f t="shared" ref="AV26" si="12">AV25-YAFFR0</f>
        <v>450</v>
      </c>
      <c r="AW26" s="3">
        <f t="shared" ref="AW26" si="13">AW25-YAFFR0</f>
        <v>460</v>
      </c>
      <c r="AX26" s="3">
        <f t="shared" ref="AX26" si="14">AX25-YAFFR0</f>
        <v>470</v>
      </c>
      <c r="AY26" s="3">
        <f t="shared" ref="AY26" si="15">AY25-YAFFR0</f>
        <v>480</v>
      </c>
      <c r="AZ26" s="3">
        <f t="shared" ref="AZ26" si="16">AZ25-YAFFR0</f>
        <v>490</v>
      </c>
      <c r="BA26" s="3">
        <f t="shared" ref="BA26" si="17">BA25-YAFFR0</f>
        <v>500</v>
      </c>
      <c r="BB26" s="3">
        <f t="shared" ref="BB26" si="18">BB25-YAFFR0</f>
        <v>510</v>
      </c>
      <c r="BC26" s="3">
        <f t="shared" ref="BC26" si="19">BC25-YAFFR0</f>
        <v>520</v>
      </c>
      <c r="BD26" s="3">
        <f t="shared" ref="BD26" si="20">BD25-YAFFR0</f>
        <v>530</v>
      </c>
      <c r="BE26" s="3">
        <f t="shared" ref="BE26" si="21">BE25-YAFFR0</f>
        <v>540</v>
      </c>
      <c r="BF26" s="3">
        <f t="shared" ref="BF26" si="22">BF25-YAFFR0</f>
        <v>550</v>
      </c>
      <c r="BG26" s="3">
        <f t="shared" ref="BG26" si="23">BG25-YAFFR0</f>
        <v>560</v>
      </c>
      <c r="BH26" s="3">
        <f t="shared" ref="BH26" si="24">BH25-YAFFR0</f>
        <v>570</v>
      </c>
    </row>
    <row r="27" spans="2:60" x14ac:dyDescent="0.25">
      <c r="B27" t="s">
        <v>17</v>
      </c>
      <c r="C27" s="3">
        <f>DISP_DY-C26</f>
        <v>255</v>
      </c>
      <c r="D27" s="3">
        <f t="shared" ref="D27:K27" si="25">DISP_DY-D26</f>
        <v>245</v>
      </c>
      <c r="E27" s="3">
        <f t="shared" si="25"/>
        <v>235</v>
      </c>
      <c r="F27" s="3">
        <f t="shared" si="25"/>
        <v>225</v>
      </c>
      <c r="G27" s="3">
        <f t="shared" si="25"/>
        <v>215</v>
      </c>
      <c r="H27" s="3">
        <f t="shared" si="25"/>
        <v>205</v>
      </c>
      <c r="I27" s="3">
        <f t="shared" si="25"/>
        <v>195</v>
      </c>
      <c r="J27" s="3">
        <f t="shared" si="25"/>
        <v>185</v>
      </c>
      <c r="K27" s="3">
        <f t="shared" si="25"/>
        <v>175</v>
      </c>
      <c r="L27" s="3">
        <f t="shared" ref="L27:AK27" si="26">DISP_DY-L26</f>
        <v>165</v>
      </c>
      <c r="M27" s="3">
        <f t="shared" si="26"/>
        <v>155</v>
      </c>
      <c r="N27" s="3">
        <f t="shared" si="26"/>
        <v>145</v>
      </c>
      <c r="O27" s="3">
        <f t="shared" si="26"/>
        <v>135</v>
      </c>
      <c r="P27" s="3">
        <f t="shared" si="26"/>
        <v>125</v>
      </c>
      <c r="Q27" s="3">
        <f t="shared" si="26"/>
        <v>115</v>
      </c>
      <c r="R27" s="3">
        <f t="shared" si="26"/>
        <v>105</v>
      </c>
      <c r="S27" s="3">
        <f t="shared" si="26"/>
        <v>95</v>
      </c>
      <c r="T27" s="3">
        <f t="shared" si="26"/>
        <v>85</v>
      </c>
      <c r="U27" s="3">
        <f t="shared" si="26"/>
        <v>75</v>
      </c>
      <c r="V27" s="3">
        <f t="shared" si="26"/>
        <v>65</v>
      </c>
      <c r="W27" s="3">
        <f t="shared" si="26"/>
        <v>55</v>
      </c>
      <c r="X27" s="3">
        <f t="shared" si="26"/>
        <v>45</v>
      </c>
      <c r="Y27" s="3">
        <f t="shared" si="26"/>
        <v>35</v>
      </c>
      <c r="Z27" s="3">
        <f t="shared" si="26"/>
        <v>25</v>
      </c>
      <c r="AA27" s="3">
        <f t="shared" si="26"/>
        <v>15</v>
      </c>
      <c r="AB27" s="3">
        <f t="shared" si="26"/>
        <v>5</v>
      </c>
      <c r="AC27" s="3">
        <f t="shared" si="26"/>
        <v>-5</v>
      </c>
      <c r="AD27" s="3">
        <f t="shared" si="26"/>
        <v>-15</v>
      </c>
      <c r="AE27" s="3">
        <f t="shared" si="26"/>
        <v>-25</v>
      </c>
      <c r="AF27" s="3">
        <f t="shared" si="26"/>
        <v>-35</v>
      </c>
      <c r="AG27" s="3">
        <f t="shared" si="26"/>
        <v>-45</v>
      </c>
      <c r="AH27" s="3">
        <f t="shared" si="26"/>
        <v>-55</v>
      </c>
      <c r="AI27" s="3">
        <f t="shared" si="26"/>
        <v>-65</v>
      </c>
      <c r="AJ27" s="3">
        <f t="shared" si="26"/>
        <v>-75</v>
      </c>
      <c r="AK27" s="3">
        <f t="shared" si="26"/>
        <v>-85</v>
      </c>
      <c r="AL27" s="3">
        <f t="shared" ref="AL27:AS27" si="27">DISP_DY-AL26</f>
        <v>-95</v>
      </c>
      <c r="AM27" s="3">
        <f t="shared" si="27"/>
        <v>-105</v>
      </c>
      <c r="AN27" s="3">
        <f t="shared" si="27"/>
        <v>-115</v>
      </c>
      <c r="AO27" s="3">
        <f t="shared" si="27"/>
        <v>-125</v>
      </c>
      <c r="AP27" s="3">
        <f t="shared" si="27"/>
        <v>-135</v>
      </c>
      <c r="AQ27" s="3">
        <f t="shared" si="27"/>
        <v>-145</v>
      </c>
      <c r="AR27" s="3">
        <f t="shared" si="27"/>
        <v>-155</v>
      </c>
      <c r="AS27" s="3">
        <f t="shared" si="27"/>
        <v>-165</v>
      </c>
      <c r="AT27" s="3">
        <f t="shared" ref="AT27:BH27" si="28">DISP_DY-AT26</f>
        <v>-175</v>
      </c>
      <c r="AU27" s="3">
        <f t="shared" si="28"/>
        <v>-185</v>
      </c>
      <c r="AV27" s="3">
        <f t="shared" si="28"/>
        <v>-195</v>
      </c>
      <c r="AW27" s="3">
        <f t="shared" si="28"/>
        <v>-205</v>
      </c>
      <c r="AX27" s="3">
        <f t="shared" si="28"/>
        <v>-215</v>
      </c>
      <c r="AY27" s="3">
        <f t="shared" si="28"/>
        <v>-225</v>
      </c>
      <c r="AZ27" s="3">
        <f t="shared" si="28"/>
        <v>-235</v>
      </c>
      <c r="BA27" s="3">
        <f t="shared" si="28"/>
        <v>-245</v>
      </c>
      <c r="BB27" s="3">
        <f t="shared" si="28"/>
        <v>-255</v>
      </c>
      <c r="BC27" s="3">
        <f t="shared" si="28"/>
        <v>-265</v>
      </c>
      <c r="BD27" s="3">
        <f t="shared" si="28"/>
        <v>-275</v>
      </c>
      <c r="BE27" s="3">
        <f t="shared" si="28"/>
        <v>-285</v>
      </c>
      <c r="BF27" s="3">
        <f t="shared" si="28"/>
        <v>-295</v>
      </c>
      <c r="BG27" s="3">
        <f t="shared" si="28"/>
        <v>-305</v>
      </c>
      <c r="BH27" s="3">
        <f t="shared" si="28"/>
        <v>-315</v>
      </c>
    </row>
    <row r="29" spans="2:60" x14ac:dyDescent="0.25">
      <c r="C29" s="1"/>
    </row>
    <row r="30" spans="2:60" x14ac:dyDescent="0.25">
      <c r="C30" s="1"/>
    </row>
    <row r="31" spans="2:60" x14ac:dyDescent="0.25">
      <c r="C31" s="1"/>
    </row>
    <row r="32" spans="2:60" x14ac:dyDescent="0.25">
      <c r="C32" s="1"/>
    </row>
    <row r="33" spans="2:60" x14ac:dyDescent="0.25">
      <c r="C33" s="1"/>
    </row>
    <row r="34" spans="2:60" x14ac:dyDescent="0.25">
      <c r="C34" s="1"/>
    </row>
    <row r="35" spans="2:60" x14ac:dyDescent="0.25">
      <c r="B35" t="s">
        <v>0</v>
      </c>
      <c r="C35" s="2">
        <v>32</v>
      </c>
    </row>
    <row r="36" spans="2:60" x14ac:dyDescent="0.25">
      <c r="C36" s="1"/>
    </row>
    <row r="37" spans="2:60" x14ac:dyDescent="0.25">
      <c r="B37" s="5" t="s">
        <v>14</v>
      </c>
      <c r="C37" s="2">
        <f>C27</f>
        <v>255</v>
      </c>
      <c r="D37" s="2">
        <f>D27</f>
        <v>245</v>
      </c>
      <c r="E37" s="2">
        <f t="shared" ref="D37:AK37" si="29">E27</f>
        <v>235</v>
      </c>
      <c r="F37" s="2">
        <f t="shared" si="29"/>
        <v>225</v>
      </c>
      <c r="G37" s="2">
        <f t="shared" si="29"/>
        <v>215</v>
      </c>
      <c r="H37" s="2">
        <f t="shared" si="29"/>
        <v>205</v>
      </c>
      <c r="I37" s="2">
        <f t="shared" si="29"/>
        <v>195</v>
      </c>
      <c r="J37" s="2">
        <f t="shared" si="29"/>
        <v>185</v>
      </c>
      <c r="K37" s="2">
        <f t="shared" si="29"/>
        <v>175</v>
      </c>
      <c r="L37" s="2">
        <f t="shared" si="29"/>
        <v>165</v>
      </c>
      <c r="M37" s="2">
        <f t="shared" si="29"/>
        <v>155</v>
      </c>
      <c r="N37" s="2">
        <f t="shared" si="29"/>
        <v>145</v>
      </c>
      <c r="O37" s="2">
        <f t="shared" si="29"/>
        <v>135</v>
      </c>
      <c r="P37" s="2">
        <f t="shared" si="29"/>
        <v>125</v>
      </c>
      <c r="Q37" s="2">
        <f t="shared" si="29"/>
        <v>115</v>
      </c>
      <c r="R37" s="2">
        <f t="shared" si="29"/>
        <v>105</v>
      </c>
      <c r="S37" s="2">
        <f t="shared" si="29"/>
        <v>95</v>
      </c>
      <c r="T37" s="2">
        <f t="shared" si="29"/>
        <v>85</v>
      </c>
      <c r="U37" s="2">
        <f t="shared" si="29"/>
        <v>75</v>
      </c>
      <c r="V37" s="2">
        <f t="shared" si="29"/>
        <v>65</v>
      </c>
      <c r="W37" s="2">
        <f t="shared" si="29"/>
        <v>55</v>
      </c>
      <c r="X37" s="2">
        <f t="shared" si="29"/>
        <v>45</v>
      </c>
      <c r="Y37" s="2">
        <f t="shared" si="29"/>
        <v>35</v>
      </c>
      <c r="Z37" s="2">
        <f t="shared" si="29"/>
        <v>25</v>
      </c>
      <c r="AA37" s="2">
        <f t="shared" si="29"/>
        <v>15</v>
      </c>
      <c r="AB37" s="2">
        <f t="shared" si="29"/>
        <v>5</v>
      </c>
      <c r="AC37" s="2">
        <f t="shared" si="29"/>
        <v>-5</v>
      </c>
      <c r="AD37" s="2">
        <f t="shared" si="29"/>
        <v>-15</v>
      </c>
      <c r="AE37" s="2">
        <f t="shared" si="29"/>
        <v>-25</v>
      </c>
      <c r="AF37" s="2">
        <f t="shared" si="29"/>
        <v>-35</v>
      </c>
      <c r="AG37" s="2">
        <f t="shared" si="29"/>
        <v>-45</v>
      </c>
      <c r="AH37" s="2">
        <f t="shared" si="29"/>
        <v>-55</v>
      </c>
      <c r="AI37" s="2">
        <f t="shared" si="29"/>
        <v>-65</v>
      </c>
      <c r="AJ37" s="2">
        <f t="shared" si="29"/>
        <v>-75</v>
      </c>
      <c r="AK37" s="2">
        <f t="shared" si="29"/>
        <v>-85</v>
      </c>
      <c r="AL37" s="2">
        <f t="shared" ref="AL37:AS37" si="30">AL27</f>
        <v>-95</v>
      </c>
      <c r="AM37" s="2">
        <f t="shared" si="30"/>
        <v>-105</v>
      </c>
      <c r="AN37" s="2">
        <f t="shared" si="30"/>
        <v>-115</v>
      </c>
      <c r="AO37" s="2">
        <f t="shared" si="30"/>
        <v>-125</v>
      </c>
      <c r="AP37" s="2">
        <f t="shared" si="30"/>
        <v>-135</v>
      </c>
      <c r="AQ37" s="2">
        <f t="shared" si="30"/>
        <v>-145</v>
      </c>
      <c r="AR37" s="2">
        <f t="shared" si="30"/>
        <v>-155</v>
      </c>
      <c r="AS37" s="2">
        <f t="shared" si="30"/>
        <v>-165</v>
      </c>
      <c r="AT37" s="2">
        <f t="shared" ref="AT37:BH37" si="31">AT27</f>
        <v>-175</v>
      </c>
      <c r="AU37" s="2">
        <f t="shared" si="31"/>
        <v>-185</v>
      </c>
      <c r="AV37" s="2">
        <f t="shared" si="31"/>
        <v>-195</v>
      </c>
      <c r="AW37" s="2">
        <f t="shared" si="31"/>
        <v>-205</v>
      </c>
      <c r="AX37" s="2">
        <f t="shared" si="31"/>
        <v>-215</v>
      </c>
      <c r="AY37" s="2">
        <f t="shared" si="31"/>
        <v>-225</v>
      </c>
      <c r="AZ37" s="2">
        <f t="shared" si="31"/>
        <v>-235</v>
      </c>
      <c r="BA37" s="2">
        <f t="shared" si="31"/>
        <v>-245</v>
      </c>
      <c r="BB37" s="2">
        <f t="shared" si="31"/>
        <v>-255</v>
      </c>
      <c r="BC37" s="2">
        <f t="shared" si="31"/>
        <v>-265</v>
      </c>
      <c r="BD37" s="2">
        <f t="shared" si="31"/>
        <v>-275</v>
      </c>
      <c r="BE37" s="2">
        <f t="shared" si="31"/>
        <v>-285</v>
      </c>
      <c r="BF37" s="2">
        <f t="shared" si="31"/>
        <v>-295</v>
      </c>
      <c r="BG37" s="2">
        <f t="shared" si="31"/>
        <v>-305</v>
      </c>
      <c r="BH37" s="2">
        <f t="shared" si="31"/>
        <v>-315</v>
      </c>
    </row>
    <row r="38" spans="2:60" x14ac:dyDescent="0.25">
      <c r="B38" t="s">
        <v>1</v>
      </c>
      <c r="C38" s="2">
        <f>C37+BOB_h-1</f>
        <v>286</v>
      </c>
      <c r="D38" s="2">
        <f t="shared" ref="D38:AK38" si="32">D37+BOB_h-1</f>
        <v>276</v>
      </c>
      <c r="E38" s="2">
        <f t="shared" si="32"/>
        <v>266</v>
      </c>
      <c r="F38" s="2">
        <f t="shared" si="32"/>
        <v>256</v>
      </c>
      <c r="G38" s="2">
        <f t="shared" si="32"/>
        <v>246</v>
      </c>
      <c r="H38" s="2">
        <f t="shared" si="32"/>
        <v>236</v>
      </c>
      <c r="I38" s="2">
        <f t="shared" si="32"/>
        <v>226</v>
      </c>
      <c r="J38" s="2">
        <f t="shared" si="32"/>
        <v>216</v>
      </c>
      <c r="K38" s="2">
        <f t="shared" si="32"/>
        <v>206</v>
      </c>
      <c r="L38" s="2">
        <f t="shared" si="32"/>
        <v>196</v>
      </c>
      <c r="M38" s="2">
        <f t="shared" si="32"/>
        <v>186</v>
      </c>
      <c r="N38" s="2">
        <f t="shared" si="32"/>
        <v>176</v>
      </c>
      <c r="O38" s="2">
        <f t="shared" si="32"/>
        <v>166</v>
      </c>
      <c r="P38" s="2">
        <f t="shared" si="32"/>
        <v>156</v>
      </c>
      <c r="Q38" s="2">
        <f t="shared" si="32"/>
        <v>146</v>
      </c>
      <c r="R38" s="2">
        <f t="shared" si="32"/>
        <v>136</v>
      </c>
      <c r="S38" s="2">
        <f t="shared" si="32"/>
        <v>126</v>
      </c>
      <c r="T38" s="2">
        <f t="shared" si="32"/>
        <v>116</v>
      </c>
      <c r="U38" s="2">
        <f t="shared" si="32"/>
        <v>106</v>
      </c>
      <c r="V38" s="2">
        <f t="shared" si="32"/>
        <v>96</v>
      </c>
      <c r="W38" s="2">
        <f t="shared" si="32"/>
        <v>86</v>
      </c>
      <c r="X38" s="2">
        <f t="shared" si="32"/>
        <v>76</v>
      </c>
      <c r="Y38" s="2">
        <f t="shared" si="32"/>
        <v>66</v>
      </c>
      <c r="Z38" s="2">
        <f t="shared" si="32"/>
        <v>56</v>
      </c>
      <c r="AA38" s="2">
        <f t="shared" si="32"/>
        <v>46</v>
      </c>
      <c r="AB38" s="2">
        <f t="shared" si="32"/>
        <v>36</v>
      </c>
      <c r="AC38" s="2">
        <f t="shared" si="32"/>
        <v>26</v>
      </c>
      <c r="AD38" s="2">
        <f t="shared" si="32"/>
        <v>16</v>
      </c>
      <c r="AE38" s="2">
        <f t="shared" si="32"/>
        <v>6</v>
      </c>
      <c r="AF38" s="2">
        <f t="shared" si="32"/>
        <v>-4</v>
      </c>
      <c r="AG38" s="2">
        <f t="shared" si="32"/>
        <v>-14</v>
      </c>
      <c r="AH38" s="2">
        <f t="shared" si="32"/>
        <v>-24</v>
      </c>
      <c r="AI38" s="2">
        <f t="shared" si="32"/>
        <v>-34</v>
      </c>
      <c r="AJ38" s="2">
        <f t="shared" si="32"/>
        <v>-44</v>
      </c>
      <c r="AK38" s="2">
        <f t="shared" si="32"/>
        <v>-54</v>
      </c>
      <c r="AL38" s="2">
        <f t="shared" ref="AL38:AS38" si="33">AL37+BOB_h-1</f>
        <v>-64</v>
      </c>
      <c r="AM38" s="2">
        <f t="shared" si="33"/>
        <v>-74</v>
      </c>
      <c r="AN38" s="2">
        <f t="shared" si="33"/>
        <v>-84</v>
      </c>
      <c r="AO38" s="2">
        <f t="shared" si="33"/>
        <v>-94</v>
      </c>
      <c r="AP38" s="2">
        <f t="shared" si="33"/>
        <v>-104</v>
      </c>
      <c r="AQ38" s="2">
        <f t="shared" si="33"/>
        <v>-114</v>
      </c>
      <c r="AR38" s="2">
        <f t="shared" si="33"/>
        <v>-124</v>
      </c>
      <c r="AS38" s="2">
        <f t="shared" si="33"/>
        <v>-134</v>
      </c>
      <c r="AT38" s="2">
        <f t="shared" ref="AT38:BH38" si="34">AT37+BOB_h-1</f>
        <v>-144</v>
      </c>
      <c r="AU38" s="2">
        <f t="shared" si="34"/>
        <v>-154</v>
      </c>
      <c r="AV38" s="2">
        <f t="shared" si="34"/>
        <v>-164</v>
      </c>
      <c r="AW38" s="2">
        <f t="shared" si="34"/>
        <v>-174</v>
      </c>
      <c r="AX38" s="2">
        <f t="shared" si="34"/>
        <v>-184</v>
      </c>
      <c r="AY38" s="2">
        <f t="shared" si="34"/>
        <v>-194</v>
      </c>
      <c r="AZ38" s="2">
        <f t="shared" si="34"/>
        <v>-204</v>
      </c>
      <c r="BA38" s="2">
        <f t="shared" si="34"/>
        <v>-214</v>
      </c>
      <c r="BB38" s="2">
        <f t="shared" si="34"/>
        <v>-224</v>
      </c>
      <c r="BC38" s="2">
        <f t="shared" si="34"/>
        <v>-234</v>
      </c>
      <c r="BD38" s="2">
        <f t="shared" si="34"/>
        <v>-244</v>
      </c>
      <c r="BE38" s="2">
        <f t="shared" si="34"/>
        <v>-254</v>
      </c>
      <c r="BF38" s="2">
        <f t="shared" si="34"/>
        <v>-264</v>
      </c>
      <c r="BG38" s="2">
        <f t="shared" si="34"/>
        <v>-274</v>
      </c>
      <c r="BH38" s="2">
        <f t="shared" si="34"/>
        <v>-284</v>
      </c>
    </row>
    <row r="39" spans="2:60" x14ac:dyDescent="0.25">
      <c r="B39" t="str">
        <f>B38&amp;"&gt;="&amp;B19</f>
        <v>BOB yFin&gt;=BITPLANE_DY</v>
      </c>
      <c r="C39" s="2" t="b">
        <f>C38&gt;=BP_DY</f>
        <v>0</v>
      </c>
      <c r="D39" s="2" t="b">
        <f t="shared" ref="D39:AK39" si="35">D38&gt;=BP_DY</f>
        <v>0</v>
      </c>
      <c r="E39" s="2" t="b">
        <f>E38&gt;=BP_DY</f>
        <v>0</v>
      </c>
      <c r="F39" s="2" t="b">
        <f t="shared" si="35"/>
        <v>0</v>
      </c>
      <c r="G39" s="2" t="b">
        <f t="shared" si="35"/>
        <v>0</v>
      </c>
      <c r="H39" s="2" t="b">
        <f t="shared" si="35"/>
        <v>0</v>
      </c>
      <c r="I39" s="2" t="b">
        <f t="shared" si="35"/>
        <v>0</v>
      </c>
      <c r="J39" s="2" t="b">
        <f t="shared" si="35"/>
        <v>0</v>
      </c>
      <c r="K39" s="2" t="b">
        <f t="shared" si="35"/>
        <v>0</v>
      </c>
      <c r="L39" s="2" t="b">
        <f t="shared" si="35"/>
        <v>0</v>
      </c>
      <c r="M39" s="2" t="b">
        <f t="shared" si="35"/>
        <v>0</v>
      </c>
      <c r="N39" s="2" t="b">
        <f t="shared" si="35"/>
        <v>0</v>
      </c>
      <c r="O39" s="2" t="b">
        <f t="shared" si="35"/>
        <v>0</v>
      </c>
      <c r="P39" s="2" t="b">
        <f>P38&gt;=BP_DY</f>
        <v>0</v>
      </c>
      <c r="Q39" s="2" t="b">
        <f t="shared" si="35"/>
        <v>0</v>
      </c>
      <c r="R39" s="2" t="b">
        <f t="shared" si="35"/>
        <v>0</v>
      </c>
      <c r="S39" s="2" t="b">
        <f t="shared" si="35"/>
        <v>0</v>
      </c>
      <c r="T39" s="2" t="b">
        <f t="shared" si="35"/>
        <v>0</v>
      </c>
      <c r="U39" s="2" t="b">
        <f t="shared" si="35"/>
        <v>0</v>
      </c>
      <c r="V39" s="2" t="b">
        <f t="shared" si="35"/>
        <v>0</v>
      </c>
      <c r="W39" s="2" t="b">
        <f t="shared" si="35"/>
        <v>0</v>
      </c>
      <c r="X39" s="2" t="b">
        <f t="shared" si="35"/>
        <v>0</v>
      </c>
      <c r="Y39" s="2" t="b">
        <f t="shared" si="35"/>
        <v>0</v>
      </c>
      <c r="Z39" s="2" t="b">
        <f t="shared" si="35"/>
        <v>0</v>
      </c>
      <c r="AA39" s="2" t="b">
        <f t="shared" si="35"/>
        <v>0</v>
      </c>
      <c r="AB39" s="2" t="b">
        <f t="shared" si="35"/>
        <v>0</v>
      </c>
      <c r="AC39" s="2" t="b">
        <f t="shared" si="35"/>
        <v>0</v>
      </c>
      <c r="AD39" s="2" t="b">
        <f t="shared" si="35"/>
        <v>0</v>
      </c>
      <c r="AE39" s="2" t="b">
        <f t="shared" si="35"/>
        <v>0</v>
      </c>
      <c r="AF39" s="2" t="b">
        <f t="shared" si="35"/>
        <v>0</v>
      </c>
      <c r="AG39" s="2" t="b">
        <f t="shared" si="35"/>
        <v>0</v>
      </c>
      <c r="AH39" s="2" t="b">
        <f t="shared" si="35"/>
        <v>0</v>
      </c>
      <c r="AI39" s="2" t="b">
        <f t="shared" si="35"/>
        <v>0</v>
      </c>
      <c r="AJ39" s="2" t="b">
        <f t="shared" si="35"/>
        <v>0</v>
      </c>
      <c r="AK39" s="2" t="b">
        <f t="shared" si="35"/>
        <v>0</v>
      </c>
      <c r="AL39" s="2" t="b">
        <f t="shared" ref="AL39:AS39" si="36">AL38&gt;=BP_DY</f>
        <v>0</v>
      </c>
      <c r="AM39" s="2" t="b">
        <f t="shared" si="36"/>
        <v>0</v>
      </c>
      <c r="AN39" s="2" t="b">
        <f t="shared" si="36"/>
        <v>0</v>
      </c>
      <c r="AO39" s="2" t="b">
        <f t="shared" si="36"/>
        <v>0</v>
      </c>
      <c r="AP39" s="2" t="b">
        <f t="shared" si="36"/>
        <v>0</v>
      </c>
      <c r="AQ39" s="2" t="b">
        <f t="shared" si="36"/>
        <v>0</v>
      </c>
      <c r="AR39" s="2" t="b">
        <f t="shared" si="36"/>
        <v>0</v>
      </c>
      <c r="AS39" s="2" t="b">
        <f t="shared" si="36"/>
        <v>0</v>
      </c>
      <c r="AT39" s="2" t="b">
        <f t="shared" ref="AT39:BH39" si="37">AT38&gt;=BP_DY</f>
        <v>0</v>
      </c>
      <c r="AU39" s="2" t="b">
        <f t="shared" si="37"/>
        <v>0</v>
      </c>
      <c r="AV39" s="2" t="b">
        <f t="shared" si="37"/>
        <v>0</v>
      </c>
      <c r="AW39" s="2" t="b">
        <f t="shared" si="37"/>
        <v>0</v>
      </c>
      <c r="AX39" s="2" t="b">
        <f t="shared" si="37"/>
        <v>0</v>
      </c>
      <c r="AY39" s="2" t="b">
        <f t="shared" si="37"/>
        <v>0</v>
      </c>
      <c r="AZ39" s="2" t="b">
        <f t="shared" si="37"/>
        <v>0</v>
      </c>
      <c r="BA39" s="2" t="b">
        <f t="shared" si="37"/>
        <v>0</v>
      </c>
      <c r="BB39" s="2" t="b">
        <f t="shared" si="37"/>
        <v>0</v>
      </c>
      <c r="BC39" s="2" t="b">
        <f t="shared" si="37"/>
        <v>0</v>
      </c>
      <c r="BD39" s="2" t="b">
        <f t="shared" si="37"/>
        <v>0</v>
      </c>
      <c r="BE39" s="2" t="b">
        <f t="shared" si="37"/>
        <v>0</v>
      </c>
      <c r="BF39" s="2" t="b">
        <f t="shared" si="37"/>
        <v>0</v>
      </c>
      <c r="BG39" s="2" t="b">
        <f t="shared" si="37"/>
        <v>0</v>
      </c>
      <c r="BH39" s="2" t="b">
        <f t="shared" si="37"/>
        <v>0</v>
      </c>
    </row>
    <row r="40" spans="2:60" x14ac:dyDescent="0.25">
      <c r="B40" t="s">
        <v>2</v>
      </c>
      <c r="C40" s="2">
        <f>C37</f>
        <v>255</v>
      </c>
      <c r="D40" s="2">
        <f>D37</f>
        <v>245</v>
      </c>
      <c r="E40" s="2">
        <f>E37</f>
        <v>235</v>
      </c>
      <c r="F40" s="2">
        <f t="shared" ref="F40:G40" si="38">F37</f>
        <v>225</v>
      </c>
      <c r="G40" s="2">
        <f t="shared" si="38"/>
        <v>215</v>
      </c>
      <c r="H40" s="2">
        <f t="shared" ref="H40:AK40" si="39">H37</f>
        <v>205</v>
      </c>
      <c r="I40" s="2">
        <f t="shared" si="39"/>
        <v>195</v>
      </c>
      <c r="J40" s="2">
        <f t="shared" si="39"/>
        <v>185</v>
      </c>
      <c r="K40" s="2">
        <f t="shared" si="39"/>
        <v>175</v>
      </c>
      <c r="L40" s="2">
        <f t="shared" ref="L40:AH40" si="40">L37</f>
        <v>165</v>
      </c>
      <c r="M40" s="2">
        <f t="shared" si="40"/>
        <v>155</v>
      </c>
      <c r="N40" s="2">
        <f t="shared" si="40"/>
        <v>145</v>
      </c>
      <c r="O40" s="2">
        <f t="shared" si="40"/>
        <v>135</v>
      </c>
      <c r="P40" s="2">
        <f t="shared" si="40"/>
        <v>125</v>
      </c>
      <c r="Q40" s="2">
        <f t="shared" si="40"/>
        <v>115</v>
      </c>
      <c r="R40" s="2">
        <f t="shared" si="40"/>
        <v>105</v>
      </c>
      <c r="S40" s="2">
        <f t="shared" si="40"/>
        <v>95</v>
      </c>
      <c r="T40" s="2">
        <f t="shared" si="40"/>
        <v>85</v>
      </c>
      <c r="U40" s="2">
        <f t="shared" si="40"/>
        <v>75</v>
      </c>
      <c r="V40" s="2">
        <f t="shared" si="40"/>
        <v>65</v>
      </c>
      <c r="W40" s="2">
        <f t="shared" si="40"/>
        <v>55</v>
      </c>
      <c r="X40" s="2">
        <f t="shared" si="40"/>
        <v>45</v>
      </c>
      <c r="Y40" s="2">
        <f t="shared" si="40"/>
        <v>35</v>
      </c>
      <c r="Z40" s="2">
        <f t="shared" si="40"/>
        <v>25</v>
      </c>
      <c r="AA40" s="2">
        <f t="shared" si="40"/>
        <v>15</v>
      </c>
      <c r="AB40" s="2">
        <f t="shared" si="40"/>
        <v>5</v>
      </c>
      <c r="AC40" s="2">
        <f t="shared" si="40"/>
        <v>-5</v>
      </c>
      <c r="AD40" s="2">
        <f t="shared" si="40"/>
        <v>-15</v>
      </c>
      <c r="AE40" s="2">
        <f t="shared" si="40"/>
        <v>-25</v>
      </c>
      <c r="AF40" s="2">
        <f t="shared" si="40"/>
        <v>-35</v>
      </c>
      <c r="AG40" s="2">
        <f t="shared" si="40"/>
        <v>-45</v>
      </c>
      <c r="AH40" s="2">
        <f t="shared" si="40"/>
        <v>-55</v>
      </c>
      <c r="AI40" s="2">
        <f t="shared" si="39"/>
        <v>-65</v>
      </c>
      <c r="AJ40" s="2">
        <f t="shared" si="39"/>
        <v>-75</v>
      </c>
      <c r="AK40" s="2">
        <f t="shared" si="39"/>
        <v>-85</v>
      </c>
      <c r="AL40" s="2">
        <f t="shared" ref="AL40:AS40" si="41">AL37</f>
        <v>-95</v>
      </c>
      <c r="AM40" s="2">
        <f t="shared" si="41"/>
        <v>-105</v>
      </c>
      <c r="AN40" s="2">
        <f t="shared" si="41"/>
        <v>-115</v>
      </c>
      <c r="AO40" s="2">
        <f t="shared" si="41"/>
        <v>-125</v>
      </c>
      <c r="AP40" s="2">
        <f t="shared" si="41"/>
        <v>-135</v>
      </c>
      <c r="AQ40" s="2">
        <f t="shared" si="41"/>
        <v>-145</v>
      </c>
      <c r="AR40" s="2">
        <f t="shared" si="41"/>
        <v>-155</v>
      </c>
      <c r="AS40" s="2">
        <f t="shared" si="41"/>
        <v>-165</v>
      </c>
      <c r="AT40" s="2">
        <f t="shared" ref="AT40:BH40" si="42">AT37</f>
        <v>-175</v>
      </c>
      <c r="AU40" s="2">
        <f t="shared" si="42"/>
        <v>-185</v>
      </c>
      <c r="AV40" s="2">
        <f t="shared" si="42"/>
        <v>-195</v>
      </c>
      <c r="AW40" s="2">
        <f t="shared" si="42"/>
        <v>-205</v>
      </c>
      <c r="AX40" s="2">
        <f t="shared" si="42"/>
        <v>-215</v>
      </c>
      <c r="AY40" s="2">
        <f t="shared" si="42"/>
        <v>-225</v>
      </c>
      <c r="AZ40" s="2">
        <f t="shared" si="42"/>
        <v>-235</v>
      </c>
      <c r="BA40" s="2">
        <f t="shared" si="42"/>
        <v>-245</v>
      </c>
      <c r="BB40" s="2">
        <f t="shared" si="42"/>
        <v>-255</v>
      </c>
      <c r="BC40" s="2">
        <f t="shared" si="42"/>
        <v>-265</v>
      </c>
      <c r="BD40" s="2">
        <f t="shared" si="42"/>
        <v>-275</v>
      </c>
      <c r="BE40" s="2">
        <f t="shared" si="42"/>
        <v>-285</v>
      </c>
      <c r="BF40" s="2">
        <f t="shared" si="42"/>
        <v>-295</v>
      </c>
      <c r="BG40" s="2">
        <f t="shared" si="42"/>
        <v>-305</v>
      </c>
      <c r="BH40" s="2">
        <f t="shared" si="42"/>
        <v>-315</v>
      </c>
    </row>
    <row r="41" spans="2:60" x14ac:dyDescent="0.25">
      <c r="B41" t="s">
        <v>3</v>
      </c>
      <c r="C41" s="2">
        <f t="shared" ref="C41:AK41" si="43">IF(NOT(C39),C38,BP_DY-1)</f>
        <v>286</v>
      </c>
      <c r="D41" s="2">
        <f t="shared" si="43"/>
        <v>276</v>
      </c>
      <c r="E41" s="2">
        <f t="shared" si="43"/>
        <v>266</v>
      </c>
      <c r="F41" s="2">
        <f t="shared" si="43"/>
        <v>256</v>
      </c>
      <c r="G41" s="2">
        <f t="shared" si="43"/>
        <v>246</v>
      </c>
      <c r="H41" s="2">
        <f t="shared" si="43"/>
        <v>236</v>
      </c>
      <c r="I41" s="2">
        <f t="shared" si="43"/>
        <v>226</v>
      </c>
      <c r="J41" s="2">
        <f t="shared" si="43"/>
        <v>216</v>
      </c>
      <c r="K41" s="2">
        <f t="shared" si="43"/>
        <v>206</v>
      </c>
      <c r="L41" s="2">
        <f t="shared" si="43"/>
        <v>196</v>
      </c>
      <c r="M41" s="2">
        <f t="shared" si="43"/>
        <v>186</v>
      </c>
      <c r="N41" s="2">
        <f t="shared" si="43"/>
        <v>176</v>
      </c>
      <c r="O41" s="2">
        <f t="shared" si="43"/>
        <v>166</v>
      </c>
      <c r="P41" s="2">
        <f t="shared" si="43"/>
        <v>156</v>
      </c>
      <c r="Q41" s="2">
        <f t="shared" si="43"/>
        <v>146</v>
      </c>
      <c r="R41" s="2">
        <f t="shared" si="43"/>
        <v>136</v>
      </c>
      <c r="S41" s="2">
        <f t="shared" si="43"/>
        <v>126</v>
      </c>
      <c r="T41" s="2">
        <f t="shared" si="43"/>
        <v>116</v>
      </c>
      <c r="U41" s="2">
        <f t="shared" si="43"/>
        <v>106</v>
      </c>
      <c r="V41" s="2">
        <f t="shared" si="43"/>
        <v>96</v>
      </c>
      <c r="W41" s="2">
        <f t="shared" si="43"/>
        <v>86</v>
      </c>
      <c r="X41" s="2">
        <f t="shared" si="43"/>
        <v>76</v>
      </c>
      <c r="Y41" s="2">
        <f t="shared" si="43"/>
        <v>66</v>
      </c>
      <c r="Z41" s="2">
        <f t="shared" si="43"/>
        <v>56</v>
      </c>
      <c r="AA41" s="2">
        <f t="shared" si="43"/>
        <v>46</v>
      </c>
      <c r="AB41" s="2">
        <f t="shared" si="43"/>
        <v>36</v>
      </c>
      <c r="AC41" s="2">
        <f t="shared" si="43"/>
        <v>26</v>
      </c>
      <c r="AD41" s="2">
        <f t="shared" si="43"/>
        <v>16</v>
      </c>
      <c r="AE41" s="2">
        <f t="shared" si="43"/>
        <v>6</v>
      </c>
      <c r="AF41" s="2">
        <f t="shared" si="43"/>
        <v>-4</v>
      </c>
      <c r="AG41" s="2">
        <f t="shared" si="43"/>
        <v>-14</v>
      </c>
      <c r="AH41" s="2">
        <f t="shared" si="43"/>
        <v>-24</v>
      </c>
      <c r="AI41" s="2">
        <f t="shared" si="43"/>
        <v>-34</v>
      </c>
      <c r="AJ41" s="2">
        <f t="shared" si="43"/>
        <v>-44</v>
      </c>
      <c r="AK41" s="2">
        <f t="shared" si="43"/>
        <v>-54</v>
      </c>
      <c r="AL41" s="2">
        <f t="shared" ref="AL41:AS41" si="44">IF(NOT(AL39),AL38,BP_DY-1)</f>
        <v>-64</v>
      </c>
      <c r="AM41" s="2">
        <f t="shared" si="44"/>
        <v>-74</v>
      </c>
      <c r="AN41" s="2">
        <f t="shared" si="44"/>
        <v>-84</v>
      </c>
      <c r="AO41" s="2">
        <f t="shared" si="44"/>
        <v>-94</v>
      </c>
      <c r="AP41" s="2">
        <f t="shared" si="44"/>
        <v>-104</v>
      </c>
      <c r="AQ41" s="2">
        <f t="shared" si="44"/>
        <v>-114</v>
      </c>
      <c r="AR41" s="2">
        <f t="shared" si="44"/>
        <v>-124</v>
      </c>
      <c r="AS41" s="2">
        <f t="shared" si="44"/>
        <v>-134</v>
      </c>
      <c r="AT41" s="2">
        <f t="shared" ref="AT41:BH41" si="45">IF(NOT(AT39),AT38,BP_DY-1)</f>
        <v>-144</v>
      </c>
      <c r="AU41" s="2">
        <f t="shared" si="45"/>
        <v>-154</v>
      </c>
      <c r="AV41" s="2">
        <f t="shared" si="45"/>
        <v>-164</v>
      </c>
      <c r="AW41" s="2">
        <f t="shared" si="45"/>
        <v>-174</v>
      </c>
      <c r="AX41" s="2">
        <f t="shared" si="45"/>
        <v>-184</v>
      </c>
      <c r="AY41" s="2">
        <f t="shared" si="45"/>
        <v>-194</v>
      </c>
      <c r="AZ41" s="2">
        <f t="shared" si="45"/>
        <v>-204</v>
      </c>
      <c r="BA41" s="2">
        <f t="shared" si="45"/>
        <v>-214</v>
      </c>
      <c r="BB41" s="2">
        <f t="shared" si="45"/>
        <v>-224</v>
      </c>
      <c r="BC41" s="2">
        <f t="shared" si="45"/>
        <v>-234</v>
      </c>
      <c r="BD41" s="2">
        <f t="shared" si="45"/>
        <v>-244</v>
      </c>
      <c r="BE41" s="2">
        <f t="shared" si="45"/>
        <v>-254</v>
      </c>
      <c r="BF41" s="2">
        <f t="shared" si="45"/>
        <v>-264</v>
      </c>
      <c r="BG41" s="2">
        <f t="shared" si="45"/>
        <v>-274</v>
      </c>
      <c r="BH41" s="2">
        <f t="shared" si="45"/>
        <v>-284</v>
      </c>
    </row>
    <row r="42" spans="2:60" x14ac:dyDescent="0.25">
      <c r="B42" t="s">
        <v>2</v>
      </c>
      <c r="C42" s="2" t="str">
        <f>IF(NOT(C39),"-",0)</f>
        <v>-</v>
      </c>
      <c r="D42" s="2" t="str">
        <f>IF(NOT(D39),"-",0)</f>
        <v>-</v>
      </c>
      <c r="E42" s="2" t="str">
        <f>IF(NOT(E39),"-",0)</f>
        <v>-</v>
      </c>
      <c r="F42" s="2" t="str">
        <f t="shared" ref="F42:G42" si="46">IF(NOT(F39),"-",0)</f>
        <v>-</v>
      </c>
      <c r="G42" s="2" t="str">
        <f t="shared" si="46"/>
        <v>-</v>
      </c>
      <c r="H42" s="2" t="str">
        <f t="shared" ref="H42:AK42" si="47">IF(NOT(H39),"-",0)</f>
        <v>-</v>
      </c>
      <c r="I42" s="2" t="str">
        <f t="shared" si="47"/>
        <v>-</v>
      </c>
      <c r="J42" s="2" t="str">
        <f t="shared" si="47"/>
        <v>-</v>
      </c>
      <c r="K42" s="2" t="str">
        <f t="shared" si="47"/>
        <v>-</v>
      </c>
      <c r="L42" s="2" t="str">
        <f t="shared" ref="L42:AH42" si="48">IF(NOT(L39),"-",0)</f>
        <v>-</v>
      </c>
      <c r="M42" s="2" t="str">
        <f t="shared" si="48"/>
        <v>-</v>
      </c>
      <c r="N42" s="2" t="str">
        <f t="shared" si="48"/>
        <v>-</v>
      </c>
      <c r="O42" s="2" t="str">
        <f t="shared" si="48"/>
        <v>-</v>
      </c>
      <c r="P42" s="2" t="str">
        <f t="shared" si="48"/>
        <v>-</v>
      </c>
      <c r="Q42" s="2" t="str">
        <f t="shared" si="48"/>
        <v>-</v>
      </c>
      <c r="R42" s="2" t="str">
        <f t="shared" si="48"/>
        <v>-</v>
      </c>
      <c r="S42" s="2" t="str">
        <f t="shared" si="48"/>
        <v>-</v>
      </c>
      <c r="T42" s="2" t="str">
        <f t="shared" si="48"/>
        <v>-</v>
      </c>
      <c r="U42" s="2" t="str">
        <f t="shared" si="48"/>
        <v>-</v>
      </c>
      <c r="V42" s="2" t="str">
        <f t="shared" si="48"/>
        <v>-</v>
      </c>
      <c r="W42" s="2" t="str">
        <f t="shared" si="48"/>
        <v>-</v>
      </c>
      <c r="X42" s="2" t="str">
        <f t="shared" si="48"/>
        <v>-</v>
      </c>
      <c r="Y42" s="2" t="str">
        <f t="shared" si="48"/>
        <v>-</v>
      </c>
      <c r="Z42" s="2" t="str">
        <f t="shared" si="48"/>
        <v>-</v>
      </c>
      <c r="AA42" s="2" t="str">
        <f t="shared" si="48"/>
        <v>-</v>
      </c>
      <c r="AB42" s="2" t="str">
        <f t="shared" si="48"/>
        <v>-</v>
      </c>
      <c r="AC42" s="2" t="str">
        <f t="shared" si="48"/>
        <v>-</v>
      </c>
      <c r="AD42" s="2" t="str">
        <f t="shared" si="48"/>
        <v>-</v>
      </c>
      <c r="AE42" s="2" t="str">
        <f t="shared" si="48"/>
        <v>-</v>
      </c>
      <c r="AF42" s="2" t="str">
        <f t="shared" si="48"/>
        <v>-</v>
      </c>
      <c r="AG42" s="2" t="str">
        <f t="shared" si="48"/>
        <v>-</v>
      </c>
      <c r="AH42" s="2" t="str">
        <f t="shared" si="48"/>
        <v>-</v>
      </c>
      <c r="AI42" s="2" t="str">
        <f t="shared" si="47"/>
        <v>-</v>
      </c>
      <c r="AJ42" s="2" t="str">
        <f t="shared" si="47"/>
        <v>-</v>
      </c>
      <c r="AK42" s="2" t="str">
        <f t="shared" si="47"/>
        <v>-</v>
      </c>
      <c r="AL42" s="2" t="str">
        <f t="shared" ref="AL42:AS42" si="49">IF(NOT(AL39),"-",0)</f>
        <v>-</v>
      </c>
      <c r="AM42" s="2" t="str">
        <f t="shared" si="49"/>
        <v>-</v>
      </c>
      <c r="AN42" s="2" t="str">
        <f t="shared" si="49"/>
        <v>-</v>
      </c>
      <c r="AO42" s="2" t="str">
        <f t="shared" si="49"/>
        <v>-</v>
      </c>
      <c r="AP42" s="2" t="str">
        <f t="shared" si="49"/>
        <v>-</v>
      </c>
      <c r="AQ42" s="2" t="str">
        <f t="shared" si="49"/>
        <v>-</v>
      </c>
      <c r="AR42" s="2" t="str">
        <f t="shared" si="49"/>
        <v>-</v>
      </c>
      <c r="AS42" s="2" t="str">
        <f t="shared" si="49"/>
        <v>-</v>
      </c>
      <c r="AT42" s="2" t="str">
        <f t="shared" ref="AT42:BH42" si="50">IF(NOT(AT39),"-",0)</f>
        <v>-</v>
      </c>
      <c r="AU42" s="2" t="str">
        <f t="shared" si="50"/>
        <v>-</v>
      </c>
      <c r="AV42" s="2" t="str">
        <f t="shared" si="50"/>
        <v>-</v>
      </c>
      <c r="AW42" s="2" t="str">
        <f t="shared" si="50"/>
        <v>-</v>
      </c>
      <c r="AX42" s="2" t="str">
        <f t="shared" si="50"/>
        <v>-</v>
      </c>
      <c r="AY42" s="2" t="str">
        <f t="shared" si="50"/>
        <v>-</v>
      </c>
      <c r="AZ42" s="2" t="str">
        <f t="shared" si="50"/>
        <v>-</v>
      </c>
      <c r="BA42" s="2" t="str">
        <f t="shared" si="50"/>
        <v>-</v>
      </c>
      <c r="BB42" s="2" t="str">
        <f t="shared" si="50"/>
        <v>-</v>
      </c>
      <c r="BC42" s="2" t="str">
        <f t="shared" si="50"/>
        <v>-</v>
      </c>
      <c r="BD42" s="2" t="str">
        <f t="shared" si="50"/>
        <v>-</v>
      </c>
      <c r="BE42" s="2" t="str">
        <f t="shared" si="50"/>
        <v>-</v>
      </c>
      <c r="BF42" s="2" t="str">
        <f t="shared" si="50"/>
        <v>-</v>
      </c>
      <c r="BG42" s="2" t="str">
        <f t="shared" si="50"/>
        <v>-</v>
      </c>
      <c r="BH42" s="2" t="str">
        <f t="shared" si="50"/>
        <v>-</v>
      </c>
    </row>
    <row r="43" spans="2:60" x14ac:dyDescent="0.25">
      <c r="B43" t="s">
        <v>4</v>
      </c>
      <c r="C43" s="2" t="str">
        <f t="shared" ref="C43:AK43" si="51">IF(NOT(C39),"-",C38-BP_DY)</f>
        <v>-</v>
      </c>
      <c r="D43" s="2" t="str">
        <f t="shared" si="51"/>
        <v>-</v>
      </c>
      <c r="E43" s="2" t="str">
        <f t="shared" si="51"/>
        <v>-</v>
      </c>
      <c r="F43" s="2" t="str">
        <f t="shared" si="51"/>
        <v>-</v>
      </c>
      <c r="G43" s="2" t="str">
        <f t="shared" si="51"/>
        <v>-</v>
      </c>
      <c r="H43" s="2" t="str">
        <f t="shared" si="51"/>
        <v>-</v>
      </c>
      <c r="I43" s="2" t="str">
        <f t="shared" si="51"/>
        <v>-</v>
      </c>
      <c r="J43" s="2" t="str">
        <f t="shared" si="51"/>
        <v>-</v>
      </c>
      <c r="K43" s="2" t="str">
        <f t="shared" si="51"/>
        <v>-</v>
      </c>
      <c r="L43" s="2" t="str">
        <f t="shared" si="51"/>
        <v>-</v>
      </c>
      <c r="M43" s="2" t="str">
        <f t="shared" si="51"/>
        <v>-</v>
      </c>
      <c r="N43" s="2" t="str">
        <f t="shared" si="51"/>
        <v>-</v>
      </c>
      <c r="O43" s="2" t="str">
        <f t="shared" si="51"/>
        <v>-</v>
      </c>
      <c r="P43" s="2" t="str">
        <f t="shared" si="51"/>
        <v>-</v>
      </c>
      <c r="Q43" s="2" t="str">
        <f t="shared" si="51"/>
        <v>-</v>
      </c>
      <c r="R43" s="2" t="str">
        <f t="shared" si="51"/>
        <v>-</v>
      </c>
      <c r="S43" s="2" t="str">
        <f t="shared" si="51"/>
        <v>-</v>
      </c>
      <c r="T43" s="2" t="str">
        <f t="shared" si="51"/>
        <v>-</v>
      </c>
      <c r="U43" s="2" t="str">
        <f t="shared" si="51"/>
        <v>-</v>
      </c>
      <c r="V43" s="2" t="str">
        <f t="shared" si="51"/>
        <v>-</v>
      </c>
      <c r="W43" s="2" t="str">
        <f t="shared" si="51"/>
        <v>-</v>
      </c>
      <c r="X43" s="2" t="str">
        <f t="shared" si="51"/>
        <v>-</v>
      </c>
      <c r="Y43" s="2" t="str">
        <f t="shared" si="51"/>
        <v>-</v>
      </c>
      <c r="Z43" s="2" t="str">
        <f t="shared" si="51"/>
        <v>-</v>
      </c>
      <c r="AA43" s="2" t="str">
        <f t="shared" si="51"/>
        <v>-</v>
      </c>
      <c r="AB43" s="2" t="str">
        <f t="shared" si="51"/>
        <v>-</v>
      </c>
      <c r="AC43" s="2" t="str">
        <f t="shared" si="51"/>
        <v>-</v>
      </c>
      <c r="AD43" s="2" t="str">
        <f t="shared" si="51"/>
        <v>-</v>
      </c>
      <c r="AE43" s="2" t="str">
        <f t="shared" si="51"/>
        <v>-</v>
      </c>
      <c r="AF43" s="2" t="str">
        <f t="shared" si="51"/>
        <v>-</v>
      </c>
      <c r="AG43" s="2" t="str">
        <f t="shared" si="51"/>
        <v>-</v>
      </c>
      <c r="AH43" s="2" t="str">
        <f t="shared" si="51"/>
        <v>-</v>
      </c>
      <c r="AI43" s="2" t="str">
        <f t="shared" si="51"/>
        <v>-</v>
      </c>
      <c r="AJ43" s="2" t="str">
        <f t="shared" si="51"/>
        <v>-</v>
      </c>
      <c r="AK43" s="2" t="str">
        <f t="shared" si="51"/>
        <v>-</v>
      </c>
      <c r="AL43" s="2" t="str">
        <f t="shared" ref="AL43:AS43" si="52">IF(NOT(AL39),"-",AL38-BP_DY)</f>
        <v>-</v>
      </c>
      <c r="AM43" s="2" t="str">
        <f t="shared" si="52"/>
        <v>-</v>
      </c>
      <c r="AN43" s="2" t="str">
        <f t="shared" si="52"/>
        <v>-</v>
      </c>
      <c r="AO43" s="2" t="str">
        <f t="shared" si="52"/>
        <v>-</v>
      </c>
      <c r="AP43" s="2" t="str">
        <f t="shared" si="52"/>
        <v>-</v>
      </c>
      <c r="AQ43" s="2" t="str">
        <f t="shared" si="52"/>
        <v>-</v>
      </c>
      <c r="AR43" s="2" t="str">
        <f t="shared" si="52"/>
        <v>-</v>
      </c>
      <c r="AS43" s="2" t="str">
        <f t="shared" si="52"/>
        <v>-</v>
      </c>
      <c r="AT43" s="2" t="str">
        <f t="shared" ref="AT43:BH43" si="53">IF(NOT(AT39),"-",AT38-BP_DY)</f>
        <v>-</v>
      </c>
      <c r="AU43" s="2" t="str">
        <f t="shared" si="53"/>
        <v>-</v>
      </c>
      <c r="AV43" s="2" t="str">
        <f t="shared" si="53"/>
        <v>-</v>
      </c>
      <c r="AW43" s="2" t="str">
        <f t="shared" si="53"/>
        <v>-</v>
      </c>
      <c r="AX43" s="2" t="str">
        <f t="shared" si="53"/>
        <v>-</v>
      </c>
      <c r="AY43" s="2" t="str">
        <f t="shared" si="53"/>
        <v>-</v>
      </c>
      <c r="AZ43" s="2" t="str">
        <f t="shared" si="53"/>
        <v>-</v>
      </c>
      <c r="BA43" s="2" t="str">
        <f t="shared" si="53"/>
        <v>-</v>
      </c>
      <c r="BB43" s="2" t="str">
        <f t="shared" si="53"/>
        <v>-</v>
      </c>
      <c r="BC43" s="2" t="str">
        <f t="shared" si="53"/>
        <v>-</v>
      </c>
      <c r="BD43" s="2" t="str">
        <f t="shared" si="53"/>
        <v>-</v>
      </c>
      <c r="BE43" s="2" t="str">
        <f t="shared" si="53"/>
        <v>-</v>
      </c>
      <c r="BF43" s="2" t="str">
        <f t="shared" si="53"/>
        <v>-</v>
      </c>
      <c r="BG43" s="2" t="str">
        <f t="shared" si="53"/>
        <v>-</v>
      </c>
      <c r="BH43" s="2" t="str">
        <f t="shared" si="53"/>
        <v>-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4</vt:i4>
      </vt:variant>
    </vt:vector>
  </HeadingPairs>
  <TitlesOfParts>
    <vt:vector size="5" baseType="lpstr">
      <vt:lpstr>Feuil1</vt:lpstr>
      <vt:lpstr>BOB_h</vt:lpstr>
      <vt:lpstr>BP_DY</vt:lpstr>
      <vt:lpstr>DISP_DY</vt:lpstr>
      <vt:lpstr>YAFFR0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Arnaud FABRY</cp:lastModifiedBy>
  <dcterms:created xsi:type="dcterms:W3CDTF">2021-10-19T12:32:11Z</dcterms:created>
  <dcterms:modified xsi:type="dcterms:W3CDTF">2021-10-20T16:48:04Z</dcterms:modified>
</cp:coreProperties>
</file>